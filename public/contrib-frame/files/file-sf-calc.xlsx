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9" documentId="11_2E52D6BA5870B370BE939399B2333883DBAE6708" xr6:coauthVersionLast="47" xr6:coauthVersionMax="47" xr10:uidLastSave="{2992642F-9601-477E-9304-19650BF1EBD7}"/>
  <bookViews>
    <workbookView xWindow="0" yWindow="0" windowWidth="16384" windowHeight="8192" tabRatio="500" xr2:uid="{00000000-000D-0000-FFFF-FFFF00000000}"/>
  </bookViews>
  <sheets>
    <sheet name="How to Use" sheetId="1" r:id="rId1"/>
    <sheet name="Registration" sheetId="2" r:id="rId2"/>
    <sheet name="Lab Budget" sheetId="3" r:id="rId3"/>
    <sheet name="Travel &amp; Accommodation" sheetId="4" r:id="rId4"/>
    <sheet name="Grants &amp; Sponsors" sheetId="5" r:id="rId5"/>
    <sheet name="Fundraising" sheetId="6" r:id="rId6"/>
    <sheet name="Summary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6" l="1"/>
  <c r="D5" i="6"/>
  <c r="D4" i="6"/>
  <c r="D8" i="6" s="1"/>
  <c r="B11" i="7" s="1"/>
  <c r="B28" i="5"/>
  <c r="B19" i="5"/>
  <c r="B10" i="7" s="1"/>
  <c r="B10" i="5"/>
  <c r="B9" i="7" s="1"/>
  <c r="B13" i="7" s="1"/>
  <c r="B11" i="4"/>
  <c r="B10" i="4"/>
  <c r="B9" i="4"/>
  <c r="B13" i="4" s="1"/>
  <c r="B5" i="7" s="1"/>
  <c r="E19" i="3"/>
  <c r="G19" i="3" s="1"/>
  <c r="E18" i="3"/>
  <c r="G18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G6" i="3"/>
  <c r="E6" i="3"/>
  <c r="F21" i="3" s="1"/>
  <c r="E5" i="3"/>
  <c r="G5" i="3" s="1"/>
  <c r="E4" i="3"/>
  <c r="B11" i="2"/>
  <c r="B5" i="2"/>
  <c r="C18" i="2" l="1"/>
  <c r="D18" i="2" s="1"/>
  <c r="C17" i="2"/>
  <c r="D17" i="2" s="1"/>
  <c r="B24" i="2" s="1"/>
  <c r="C16" i="2"/>
  <c r="D16" i="2" s="1"/>
  <c r="B26" i="2"/>
  <c r="B3" i="7" s="1"/>
  <c r="E21" i="3"/>
  <c r="G4" i="3"/>
  <c r="G21" i="3" s="1"/>
  <c r="B4" i="7" s="1"/>
  <c r="B7" i="7" l="1"/>
  <c r="B15" i="7" s="1"/>
</calcChain>
</file>

<file path=xl/sharedStrings.xml><?xml version="1.0" encoding="utf-8"?>
<sst xmlns="http://schemas.openxmlformats.org/spreadsheetml/2006/main" count="117" uniqueCount="105">
  <si>
    <t>iGEM Self-Funding Budget Calculator — How to Use</t>
  </si>
  <si>
    <t>What this is</t>
  </si>
  <si>
    <t>A companion tool to the "How to Self-Fund for iGEM" contribution (Madrid-UCM, iGEM 2026). It turns Section 1 of that guide into a live, editable budget.</t>
  </si>
  <si>
    <t>Colour code</t>
  </si>
  <si>
    <t>Yellow cells with blue text = numbers you type in. Black text = formulas that update automatically — do not overwrite these.</t>
  </si>
  <si>
    <t>Sheet order</t>
  </si>
  <si>
    <t>1) Registration  2) Lab Budget  3) Travel &amp; Accommodation  4) Grants &amp; Sponsors  5) Fundraising  6) Summary.</t>
  </si>
  <si>
    <t>Registration</t>
  </si>
  <si>
    <t>Enter your headcount, the two flat iGEM team fees (Registration and Finalization — confirmed once per team, not per person), and the three per-delegate Jamboree fee tiers (Early Bird / Standard / Late — always confirm current amounts on the official iGEM website, they change every year). Then tell it which tier you plan to register under.</t>
  </si>
  <si>
    <t>Lab Budget</t>
  </si>
  <si>
    <t>List every reagent, kit, consumable or piece of equipment you expect to need. Mark an item "Y" under 'Covered in kind?' once a sponsor confirms they will provide it — its cost then drops out of the cash total automatically.</t>
  </si>
  <si>
    <t>Travel &amp; Accommodation</t>
  </si>
  <si>
    <t>Estimate flights, nights of accommodation and other costs (visas, insurance, local transport) for the team members attending the Grand Jamboree.</t>
  </si>
  <si>
    <t>Grants &amp; Sponsors</t>
  </si>
  <si>
    <t>Track grants awarded (e.g. Promega's iGEM grant), confirmed cash sponsorship, and in-kind sponsorship value (for your own records — in-kind value is already excluded from the Lab Budget cash total, so it is not subtracted again in the Summary).</t>
  </si>
  <si>
    <t>Fundraising</t>
  </si>
  <si>
    <t>Log the net income (revenue minus costs) of activities such as your Christmas hamper raffle or fundraising party.</t>
  </si>
  <si>
    <t>Summary</t>
  </si>
  <si>
    <t>Pulls every sheet together into one number: the remaining gap you still need to cover. Update it as the year goes on — it is meant to be a living document, not a one-off calculation.</t>
  </si>
  <si>
    <t>Registration Budget</t>
  </si>
  <si>
    <t>Number of team members</t>
  </si>
  <si>
    <t>Additional attendees (instructors, advisors)</t>
  </si>
  <si>
    <t>Total attendees</t>
  </si>
  <si>
    <t>iGEM Team Fees (one-time, per team — not multiplied by headcount)</t>
  </si>
  <si>
    <t>Fee</t>
  </si>
  <si>
    <t>Amount (€)</t>
  </si>
  <si>
    <t>iGEM Fee — Registration</t>
  </si>
  <si>
    <t>iGEM Fee — Finalization</t>
  </si>
  <si>
    <t>Total team fees</t>
  </si>
  <si>
    <t>Team-level fees billed once by iGEM HQ, regardless of headcount — confirm current amounts and payment deadlines on the official iGEM registration page.</t>
  </si>
  <si>
    <t>Per-Delegate Jamboree Registration</t>
  </si>
  <si>
    <t>Deadline</t>
  </si>
  <si>
    <t>Fee per person (€)</t>
  </si>
  <si>
    <t>Attendees</t>
  </si>
  <si>
    <t>Subtotal (€)</t>
  </si>
  <si>
    <t>Early Bird</t>
  </si>
  <si>
    <t>Standard</t>
  </si>
  <si>
    <t>Late</t>
  </si>
  <si>
    <t>Fees above are illustrative placeholders — always confirm the current amounts and dates on the official iGEM registration page before budgeting.</t>
  </si>
  <si>
    <t>Which tier will you register under?</t>
  </si>
  <si>
    <t>Type exactly: Early Bird, Standard, or Late.</t>
  </si>
  <si>
    <t>Per-delegate registration cost to budget</t>
  </si>
  <si>
    <t>TOTAL REGISTRATION (team fees + per-delegate)</t>
  </si>
  <si>
    <t>Item</t>
  </si>
  <si>
    <t>Category</t>
  </si>
  <si>
    <t>Unit cost (€)</t>
  </si>
  <si>
    <t>Quantity</t>
  </si>
  <si>
    <t>Covered in kind? (Y/N)</t>
  </si>
  <si>
    <t>Cash needed (€)</t>
  </si>
  <si>
    <t>Notes / Sponsor</t>
  </si>
  <si>
    <t>Restriction enzymes</t>
  </si>
  <si>
    <t>Reagents</t>
  </si>
  <si>
    <t>N</t>
  </si>
  <si>
    <t>Ordered via lab supplier</t>
  </si>
  <si>
    <t>PCR kit</t>
  </si>
  <si>
    <t>Alginate (sodium alginate)</t>
  </si>
  <si>
    <t>Y</t>
  </si>
  <si>
    <t>Donated by [Sponsor]</t>
  </si>
  <si>
    <t>Sequencing (Sanger, x20)</t>
  </si>
  <si>
    <t>Services</t>
  </si>
  <si>
    <t>TOTAL</t>
  </si>
  <si>
    <t>Column F ('Covered in kind?') is where you record sponsor donations. Any item marked 'Y' drops out of the 'Cash needed' total automatically.</t>
  </si>
  <si>
    <t>Number of people travelling to the Grand Jamboree</t>
  </si>
  <si>
    <t>Flight cost per person (€)</t>
  </si>
  <si>
    <t>Nights of accommodation</t>
  </si>
  <si>
    <t>Accommodation cost per person per night (€)</t>
  </si>
  <si>
    <t>Other costs per person — visa, insurance, local transport (€)</t>
  </si>
  <si>
    <t>Total flights</t>
  </si>
  <si>
    <t>Total accommodation</t>
  </si>
  <si>
    <t>Total other costs</t>
  </si>
  <si>
    <t>TOTAL TRAVEL &amp; ACCOMMODATION</t>
  </si>
  <si>
    <t>The Grand Jamboree location changes each year — check the official iGEM announcement before estimating flights.</t>
  </si>
  <si>
    <t>Grants</t>
  </si>
  <si>
    <t>Grant name</t>
  </si>
  <si>
    <t>Amount awarded (€)</t>
  </si>
  <si>
    <t>Promega iGEM Grant</t>
  </si>
  <si>
    <t>Total grants</t>
  </si>
  <si>
    <t>Cash sponsors</t>
  </si>
  <si>
    <t>Sponsor name</t>
  </si>
  <si>
    <t>Total cash sponsors</t>
  </si>
  <si>
    <t>In-kind sponsors (for your records)</t>
  </si>
  <si>
    <t>Estimated value (€)</t>
  </si>
  <si>
    <t>Fluidmechanical</t>
  </si>
  <si>
    <t>Doxa Microfluidics</t>
  </si>
  <si>
    <t>Soluciones Dehesa Sana</t>
  </si>
  <si>
    <t>Total in-kind value</t>
  </si>
  <si>
    <t>In-kind value is informational only: it is already reflected in the 'Cash needed' total on the Lab Budget sheet, so it is not subtracted again in the Summary.</t>
  </si>
  <si>
    <t>Fundraising Activities</t>
  </si>
  <si>
    <t>Activity</t>
  </si>
  <si>
    <t>Revenue (€)</t>
  </si>
  <si>
    <t>Costs (€)</t>
  </si>
  <si>
    <t>Net (€)</t>
  </si>
  <si>
    <t>Christmas Hamper Raffle</t>
  </si>
  <si>
    <t>Fundraising Party</t>
  </si>
  <si>
    <t>TOTAL NET FUNDRAISING</t>
  </si>
  <si>
    <t>Budget Summary</t>
  </si>
  <si>
    <t>Registration (team fees + per-delegate)</t>
  </si>
  <si>
    <t>Lab budget (cash needed)</t>
  </si>
  <si>
    <t>Travel &amp; accommodation</t>
  </si>
  <si>
    <t>TOTAL FUNDING NEEDED</t>
  </si>
  <si>
    <t>Grants awarded</t>
  </si>
  <si>
    <t>Net fundraising (raffle, party, etc.)</t>
  </si>
  <si>
    <t>TOTAL SECURED / RAISED</t>
  </si>
  <si>
    <t>REMAINING GAP TO COVER</t>
  </si>
  <si>
    <t>This sheet updates automatically as you fill in the other tabs. Revisit it whenever a sponsor confirms, a grant is awarded, or a cost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</si>
</sst>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8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11"/>
      <color rgb="FF000000"/>
      <name val="Arial"/>
      <charset val="1"/>
    </font>
    <font>
      <b/>
      <sz val="16"/>
      <color theme="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F5EFE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0" fontId="1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2" borderId="1" xfId="0" applyNumberFormat="1" applyFont="1" applyFill="1" applyBorder="1"/>
    <xf numFmtId="164" fontId="1" fillId="4" borderId="1" xfId="0" applyNumberFormat="1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4" fontId="1" fillId="0" borderId="1" xfId="0" applyNumberFormat="1" applyFont="1" applyBorder="1"/>
    <xf numFmtId="0" fontId="0" fillId="0" borderId="1" xfId="0" applyBorder="1"/>
    <xf numFmtId="0" fontId="5" fillId="0" borderId="0" xfId="0" applyFont="1" applyAlignment="1">
      <alignment vertical="top" wrapText="1"/>
    </xf>
    <xf numFmtId="0" fontId="7" fillId="5" borderId="0" xfId="0" applyFont="1" applyFill="1" applyAlignment="1">
      <alignment horizontal="left" vertical="center" indent="1"/>
    </xf>
    <xf numFmtId="164" fontId="4" fillId="5" borderId="1" xfId="0" applyNumberFormat="1" applyFont="1" applyFill="1" applyBorder="1"/>
    <xf numFmtId="164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5E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F5" sqref="F5"/>
    </sheetView>
  </sheetViews>
  <sheetFormatPr defaultColWidth="8.7109375" defaultRowHeight="15"/>
  <cols>
    <col min="1" max="1" width="38" customWidth="1"/>
    <col min="2" max="2" width="90" customWidth="1"/>
  </cols>
  <sheetData>
    <row r="1" spans="1:2" ht="27.75" customHeight="1">
      <c r="A1" s="14" t="s">
        <v>0</v>
      </c>
      <c r="B1" s="14"/>
    </row>
    <row r="3" spans="1:2" ht="43.5" customHeight="1">
      <c r="A3" s="1" t="s">
        <v>1</v>
      </c>
      <c r="B3" s="2" t="s">
        <v>2</v>
      </c>
    </row>
    <row r="4" spans="1:2" ht="43.5" customHeight="1">
      <c r="A4" s="1" t="s">
        <v>3</v>
      </c>
      <c r="B4" s="2" t="s">
        <v>4</v>
      </c>
    </row>
    <row r="5" spans="1:2" ht="43.5" customHeight="1">
      <c r="A5" s="1" t="s">
        <v>5</v>
      </c>
      <c r="B5" s="2" t="s">
        <v>6</v>
      </c>
    </row>
    <row r="6" spans="1:2" ht="43.5" customHeight="1">
      <c r="A6" s="1" t="s">
        <v>7</v>
      </c>
      <c r="B6" s="2" t="s">
        <v>8</v>
      </c>
    </row>
    <row r="7" spans="1:2" ht="43.5" customHeight="1">
      <c r="A7" s="1" t="s">
        <v>9</v>
      </c>
      <c r="B7" s="2" t="s">
        <v>10</v>
      </c>
    </row>
    <row r="8" spans="1:2" ht="43.5" customHeight="1">
      <c r="A8" s="1" t="s">
        <v>11</v>
      </c>
      <c r="B8" s="2" t="s">
        <v>12</v>
      </c>
    </row>
    <row r="9" spans="1:2" ht="43.5" customHeight="1">
      <c r="A9" s="1" t="s">
        <v>13</v>
      </c>
      <c r="B9" s="2" t="s">
        <v>14</v>
      </c>
    </row>
    <row r="10" spans="1:2" ht="43.5" customHeight="1">
      <c r="A10" s="1" t="s">
        <v>15</v>
      </c>
      <c r="B10" s="2" t="s">
        <v>16</v>
      </c>
    </row>
    <row r="11" spans="1:2" ht="43.5" customHeight="1">
      <c r="A11" s="1" t="s">
        <v>17</v>
      </c>
      <c r="B11" s="2" t="s">
        <v>18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Normal="100" workbookViewId="0">
      <selection sqref="A1:D1"/>
    </sheetView>
  </sheetViews>
  <sheetFormatPr defaultColWidth="8.7109375" defaultRowHeight="15"/>
  <cols>
    <col min="1" max="1" width="30" customWidth="1"/>
    <col min="2" max="2" width="20" customWidth="1"/>
    <col min="3" max="3" width="16" customWidth="1"/>
    <col min="4" max="4" width="18" customWidth="1"/>
    <col min="5" max="6" width="4" customWidth="1"/>
  </cols>
  <sheetData>
    <row r="1" spans="1:4" ht="27.75" customHeight="1">
      <c r="A1" s="14" t="s">
        <v>19</v>
      </c>
      <c r="B1" s="14"/>
      <c r="C1" s="14"/>
      <c r="D1" s="14"/>
    </row>
    <row r="3" spans="1:4">
      <c r="A3" s="1" t="s">
        <v>20</v>
      </c>
      <c r="B3" s="3">
        <v>10</v>
      </c>
    </row>
    <row r="4" spans="1:4">
      <c r="A4" s="1" t="s">
        <v>21</v>
      </c>
      <c r="B4" s="3">
        <v>2</v>
      </c>
    </row>
    <row r="5" spans="1:4">
      <c r="A5" s="1" t="s">
        <v>22</v>
      </c>
      <c r="B5" s="4">
        <f>B3+B4</f>
        <v>12</v>
      </c>
    </row>
    <row r="7" spans="1:4">
      <c r="A7" s="1" t="s">
        <v>23</v>
      </c>
    </row>
    <row r="8" spans="1:4">
      <c r="A8" s="5" t="s">
        <v>24</v>
      </c>
      <c r="B8" s="5" t="s">
        <v>25</v>
      </c>
    </row>
    <row r="9" spans="1:4">
      <c r="A9" s="6" t="s">
        <v>26</v>
      </c>
      <c r="B9" s="7">
        <v>4950</v>
      </c>
    </row>
    <row r="10" spans="1:4">
      <c r="A10" s="6" t="s">
        <v>27</v>
      </c>
      <c r="B10" s="7">
        <v>2750</v>
      </c>
    </row>
    <row r="11" spans="1:4">
      <c r="A11" s="1" t="s">
        <v>28</v>
      </c>
      <c r="B11" s="8">
        <f>SUM(B9:B10)</f>
        <v>7700</v>
      </c>
    </row>
    <row r="12" spans="1:4" ht="22.35" customHeight="1">
      <c r="A12" s="13" t="s">
        <v>29</v>
      </c>
      <c r="B12" s="13"/>
      <c r="C12" s="13"/>
      <c r="D12" s="13"/>
    </row>
    <row r="14" spans="1:4">
      <c r="A14" s="1" t="s">
        <v>30</v>
      </c>
    </row>
    <row r="15" spans="1:4">
      <c r="A15" s="5" t="s">
        <v>31</v>
      </c>
      <c r="B15" s="5" t="s">
        <v>32</v>
      </c>
      <c r="C15" s="5" t="s">
        <v>33</v>
      </c>
      <c r="D15" s="5" t="s">
        <v>34</v>
      </c>
    </row>
    <row r="16" spans="1:4">
      <c r="A16" s="6" t="s">
        <v>35</v>
      </c>
      <c r="B16" s="7">
        <v>450</v>
      </c>
      <c r="C16" s="9">
        <f>$B$5</f>
        <v>12</v>
      </c>
      <c r="D16" s="10">
        <f>B16*C16</f>
        <v>5400</v>
      </c>
    </row>
    <row r="17" spans="1:4">
      <c r="A17" s="6" t="s">
        <v>36</v>
      </c>
      <c r="B17" s="7">
        <v>550</v>
      </c>
      <c r="C17" s="9">
        <f>$B$5</f>
        <v>12</v>
      </c>
      <c r="D17" s="10">
        <f>B17*C17</f>
        <v>6600</v>
      </c>
    </row>
    <row r="18" spans="1:4">
      <c r="A18" s="6" t="s">
        <v>37</v>
      </c>
      <c r="B18" s="7">
        <v>650</v>
      </c>
      <c r="C18" s="9">
        <f>$B$5</f>
        <v>12</v>
      </c>
      <c r="D18" s="10">
        <f>B18*C18</f>
        <v>7800</v>
      </c>
    </row>
    <row r="19" spans="1:4" ht="22.35" customHeight="1">
      <c r="A19" s="13" t="s">
        <v>38</v>
      </c>
      <c r="B19" s="13"/>
      <c r="C19" s="13"/>
      <c r="D19" s="13"/>
    </row>
    <row r="21" spans="1:4">
      <c r="A21" s="1" t="s">
        <v>39</v>
      </c>
      <c r="B21" s="3" t="s">
        <v>36</v>
      </c>
    </row>
    <row r="22" spans="1:4" ht="15" customHeight="1">
      <c r="A22" s="13" t="s">
        <v>40</v>
      </c>
      <c r="B22" s="13"/>
      <c r="C22" s="13"/>
      <c r="D22" s="13"/>
    </row>
    <row r="24" spans="1:4">
      <c r="A24" s="1" t="s">
        <v>41</v>
      </c>
      <c r="B24" s="11">
        <f>INDEX(D16:D18,MATCH(B21,A16:A18,0))</f>
        <v>6600</v>
      </c>
    </row>
    <row r="26" spans="1:4">
      <c r="A26" s="1" t="s">
        <v>42</v>
      </c>
      <c r="B26" s="8">
        <f>B11+B24</f>
        <v>14300</v>
      </c>
    </row>
  </sheetData>
  <mergeCells count="4">
    <mergeCell ref="A1:D1"/>
    <mergeCell ref="A12:D12"/>
    <mergeCell ref="A19:D19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Normal="100" workbookViewId="0">
      <selection sqref="A1:H1"/>
    </sheetView>
  </sheetViews>
  <sheetFormatPr defaultColWidth="8.7109375" defaultRowHeight="15"/>
  <cols>
    <col min="1" max="1" width="24" customWidth="1"/>
    <col min="2" max="2" width="16" customWidth="1"/>
    <col min="3" max="3" width="14" customWidth="1"/>
    <col min="4" max="4" width="10" customWidth="1"/>
    <col min="5" max="5" width="14" customWidth="1"/>
    <col min="6" max="6" width="16" customWidth="1"/>
    <col min="7" max="7" width="14" customWidth="1"/>
    <col min="8" max="8" width="30" customWidth="1"/>
  </cols>
  <sheetData>
    <row r="1" spans="1:8" ht="27.75" customHeight="1">
      <c r="A1" s="14" t="s">
        <v>9</v>
      </c>
      <c r="B1" s="14"/>
      <c r="C1" s="14"/>
      <c r="D1" s="14"/>
      <c r="E1" s="14"/>
      <c r="F1" s="14"/>
      <c r="G1" s="14"/>
      <c r="H1" s="14"/>
    </row>
    <row r="3" spans="1:8" ht="26.85">
      <c r="A3" s="5" t="s">
        <v>43</v>
      </c>
      <c r="B3" s="5" t="s">
        <v>44</v>
      </c>
      <c r="C3" s="5" t="s">
        <v>45</v>
      </c>
      <c r="D3" s="5" t="s">
        <v>46</v>
      </c>
      <c r="E3" s="5" t="s">
        <v>34</v>
      </c>
      <c r="F3" s="5" t="s">
        <v>47</v>
      </c>
      <c r="G3" s="5" t="s">
        <v>48</v>
      </c>
      <c r="H3" s="5" t="s">
        <v>49</v>
      </c>
    </row>
    <row r="4" spans="1:8">
      <c r="A4" s="6" t="s">
        <v>50</v>
      </c>
      <c r="B4" s="6" t="s">
        <v>51</v>
      </c>
      <c r="C4" s="7">
        <v>45</v>
      </c>
      <c r="D4" s="3">
        <v>3</v>
      </c>
      <c r="E4" s="10">
        <f>C4*D4</f>
        <v>135</v>
      </c>
      <c r="F4" s="3" t="s">
        <v>52</v>
      </c>
      <c r="G4" s="10">
        <f>IF(F4="Y",0,E4)</f>
        <v>135</v>
      </c>
      <c r="H4" s="6" t="s">
        <v>53</v>
      </c>
    </row>
    <row r="5" spans="1:8">
      <c r="A5" s="6" t="s">
        <v>54</v>
      </c>
      <c r="B5" s="6" t="s">
        <v>51</v>
      </c>
      <c r="C5" s="7">
        <v>180</v>
      </c>
      <c r="D5" s="3">
        <v>1</v>
      </c>
      <c r="E5" s="10">
        <f>C5*D5</f>
        <v>180</v>
      </c>
      <c r="F5" s="3" t="s">
        <v>52</v>
      </c>
      <c r="G5" s="10">
        <f>IF(F5="Y",0,E5)</f>
        <v>180</v>
      </c>
      <c r="H5" s="6"/>
    </row>
    <row r="6" spans="1:8">
      <c r="A6" s="6" t="s">
        <v>55</v>
      </c>
      <c r="B6" s="6" t="s">
        <v>51</v>
      </c>
      <c r="C6" s="7">
        <v>60</v>
      </c>
      <c r="D6" s="3">
        <v>2</v>
      </c>
      <c r="E6" s="10">
        <f>C6*D6</f>
        <v>120</v>
      </c>
      <c r="F6" s="3" t="s">
        <v>56</v>
      </c>
      <c r="G6" s="10">
        <f>IF(F6="Y",0,E6)</f>
        <v>0</v>
      </c>
      <c r="H6" s="6" t="s">
        <v>57</v>
      </c>
    </row>
    <row r="7" spans="1:8">
      <c r="A7" s="6" t="s">
        <v>58</v>
      </c>
      <c r="B7" s="6" t="s">
        <v>59</v>
      </c>
      <c r="C7" s="7">
        <v>12</v>
      </c>
      <c r="D7" s="3">
        <v>20</v>
      </c>
      <c r="E7" s="10">
        <f>C7*D7</f>
        <v>240</v>
      </c>
      <c r="F7" s="3" t="s">
        <v>52</v>
      </c>
      <c r="G7" s="10">
        <f>IF(F7="Y",0,E7)</f>
        <v>240</v>
      </c>
      <c r="H7" s="6"/>
    </row>
    <row r="8" spans="1:8">
      <c r="A8" s="12"/>
      <c r="B8" s="12"/>
      <c r="C8" s="7"/>
      <c r="D8" s="3"/>
      <c r="E8" s="10">
        <f>C8*D8</f>
        <v>0</v>
      </c>
      <c r="F8" s="3"/>
      <c r="G8" s="10">
        <f>IF(F8="Y",0,E8)</f>
        <v>0</v>
      </c>
      <c r="H8" s="12"/>
    </row>
    <row r="9" spans="1:8">
      <c r="A9" s="12"/>
      <c r="B9" s="12"/>
      <c r="C9" s="7"/>
      <c r="D9" s="3"/>
      <c r="E9" s="10">
        <f>C9*D9</f>
        <v>0</v>
      </c>
      <c r="F9" s="3"/>
      <c r="G9" s="10">
        <f>IF(F9="Y",0,E9)</f>
        <v>0</v>
      </c>
      <c r="H9" s="12"/>
    </row>
    <row r="10" spans="1:8">
      <c r="A10" s="12"/>
      <c r="B10" s="12"/>
      <c r="C10" s="7"/>
      <c r="D10" s="3"/>
      <c r="E10" s="10">
        <f>C10*D10</f>
        <v>0</v>
      </c>
      <c r="F10" s="3"/>
      <c r="G10" s="10">
        <f>IF(F10="Y",0,E10)</f>
        <v>0</v>
      </c>
      <c r="H10" s="12"/>
    </row>
    <row r="11" spans="1:8">
      <c r="A11" s="12"/>
      <c r="B11" s="12"/>
      <c r="C11" s="7"/>
      <c r="D11" s="3"/>
      <c r="E11" s="10">
        <f>C11*D11</f>
        <v>0</v>
      </c>
      <c r="F11" s="3"/>
      <c r="G11" s="10">
        <f>IF(F11="Y",0,E11)</f>
        <v>0</v>
      </c>
      <c r="H11" s="12"/>
    </row>
    <row r="12" spans="1:8">
      <c r="A12" s="12"/>
      <c r="B12" s="12"/>
      <c r="C12" s="7"/>
      <c r="D12" s="3"/>
      <c r="E12" s="10">
        <f>C12*D12</f>
        <v>0</v>
      </c>
      <c r="F12" s="3"/>
      <c r="G12" s="10">
        <f>IF(F12="Y",0,E12)</f>
        <v>0</v>
      </c>
      <c r="H12" s="12"/>
    </row>
    <row r="13" spans="1:8">
      <c r="A13" s="12"/>
      <c r="B13" s="12"/>
      <c r="C13" s="7"/>
      <c r="D13" s="3"/>
      <c r="E13" s="10">
        <f>C13*D13</f>
        <v>0</v>
      </c>
      <c r="F13" s="3"/>
      <c r="G13" s="10">
        <f>IF(F13="Y",0,E13)</f>
        <v>0</v>
      </c>
      <c r="H13" s="12"/>
    </row>
    <row r="14" spans="1:8">
      <c r="A14" s="12"/>
      <c r="B14" s="12"/>
      <c r="C14" s="7"/>
      <c r="D14" s="3"/>
      <c r="E14" s="10">
        <f>C14*D14</f>
        <v>0</v>
      </c>
      <c r="F14" s="3"/>
      <c r="G14" s="10">
        <f>IF(F14="Y",0,E14)</f>
        <v>0</v>
      </c>
      <c r="H14" s="12"/>
    </row>
    <row r="15" spans="1:8">
      <c r="A15" s="12"/>
      <c r="B15" s="12"/>
      <c r="C15" s="7"/>
      <c r="D15" s="3"/>
      <c r="E15" s="10">
        <f>C15*D15</f>
        <v>0</v>
      </c>
      <c r="F15" s="3"/>
      <c r="G15" s="10">
        <f>IF(F15="Y",0,E15)</f>
        <v>0</v>
      </c>
      <c r="H15" s="12"/>
    </row>
    <row r="16" spans="1:8">
      <c r="A16" s="12"/>
      <c r="B16" s="12"/>
      <c r="C16" s="7"/>
      <c r="D16" s="3"/>
      <c r="E16" s="10">
        <f>C16*D16</f>
        <v>0</v>
      </c>
      <c r="F16" s="3"/>
      <c r="G16" s="10">
        <f>IF(F16="Y",0,E16)</f>
        <v>0</v>
      </c>
      <c r="H16" s="12"/>
    </row>
    <row r="17" spans="1:8">
      <c r="A17" s="12"/>
      <c r="B17" s="12"/>
      <c r="C17" s="7"/>
      <c r="D17" s="3"/>
      <c r="E17" s="10">
        <f>C17*D17</f>
        <v>0</v>
      </c>
      <c r="F17" s="3"/>
      <c r="G17" s="10">
        <f>IF(F17="Y",0,E17)</f>
        <v>0</v>
      </c>
      <c r="H17" s="12"/>
    </row>
    <row r="18" spans="1:8">
      <c r="A18" s="12"/>
      <c r="B18" s="12"/>
      <c r="C18" s="7"/>
      <c r="D18" s="3"/>
      <c r="E18" s="10">
        <f>C18*D18</f>
        <v>0</v>
      </c>
      <c r="F18" s="3"/>
      <c r="G18" s="10">
        <f>IF(F18="Y",0,E18)</f>
        <v>0</v>
      </c>
      <c r="H18" s="12"/>
    </row>
    <row r="19" spans="1:8">
      <c r="A19" s="12"/>
      <c r="B19" s="12"/>
      <c r="C19" s="7"/>
      <c r="D19" s="3"/>
      <c r="E19" s="10">
        <f>C19*D19</f>
        <v>0</v>
      </c>
      <c r="F19" s="3"/>
      <c r="G19" s="10">
        <f>IF(F19="Y",0,E19)</f>
        <v>0</v>
      </c>
      <c r="H19" s="12"/>
    </row>
    <row r="21" spans="1:8">
      <c r="A21" s="1" t="s">
        <v>60</v>
      </c>
      <c r="E21" s="8">
        <f>SUM(E4:E19)</f>
        <v>675</v>
      </c>
      <c r="F21" s="8">
        <f>SUMIF(F4:F19,"Y",E4:E19)</f>
        <v>120</v>
      </c>
      <c r="G21" s="8">
        <f>SUM(G4:G19)</f>
        <v>555</v>
      </c>
    </row>
    <row r="23" spans="1:8" ht="15" customHeight="1">
      <c r="A23" s="13" t="s">
        <v>61</v>
      </c>
      <c r="B23" s="13"/>
      <c r="C23" s="13"/>
      <c r="D23" s="13"/>
      <c r="E23" s="13"/>
      <c r="F23" s="13"/>
      <c r="G23" s="13"/>
      <c r="H23" s="13"/>
    </row>
  </sheetData>
  <mergeCells count="2">
    <mergeCell ref="A1:H1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>
      <selection sqref="A1:B1"/>
    </sheetView>
  </sheetViews>
  <sheetFormatPr defaultColWidth="8.7109375" defaultRowHeight="15"/>
  <cols>
    <col min="1" max="1" width="46" customWidth="1"/>
    <col min="2" max="2" width="18" customWidth="1"/>
    <col min="3" max="4" width="4" customWidth="1"/>
  </cols>
  <sheetData>
    <row r="1" spans="1:2" ht="27.75" customHeight="1">
      <c r="A1" s="14" t="s">
        <v>11</v>
      </c>
      <c r="B1" s="14"/>
    </row>
    <row r="3" spans="1:2">
      <c r="A3" s="1" t="s">
        <v>62</v>
      </c>
      <c r="B3" s="3">
        <v>6</v>
      </c>
    </row>
    <row r="4" spans="1:2">
      <c r="A4" s="1" t="s">
        <v>63</v>
      </c>
      <c r="B4" s="7">
        <v>250</v>
      </c>
    </row>
    <row r="5" spans="1:2">
      <c r="A5" s="1" t="s">
        <v>64</v>
      </c>
      <c r="B5" s="3">
        <v>5</v>
      </c>
    </row>
    <row r="6" spans="1:2">
      <c r="A6" s="1" t="s">
        <v>65</v>
      </c>
      <c r="B6" s="7">
        <v>60</v>
      </c>
    </row>
    <row r="7" spans="1:2">
      <c r="A7" s="1" t="s">
        <v>66</v>
      </c>
      <c r="B7" s="7">
        <v>50</v>
      </c>
    </row>
    <row r="9" spans="1:2">
      <c r="A9" s="1" t="s">
        <v>67</v>
      </c>
      <c r="B9" s="10">
        <f>B3*B4</f>
        <v>1500</v>
      </c>
    </row>
    <row r="10" spans="1:2">
      <c r="A10" s="1" t="s">
        <v>68</v>
      </c>
      <c r="B10" s="10">
        <f>B3*B5*B6</f>
        <v>1800</v>
      </c>
    </row>
    <row r="11" spans="1:2">
      <c r="A11" s="1" t="s">
        <v>69</v>
      </c>
      <c r="B11" s="10">
        <f>B3*B7</f>
        <v>300</v>
      </c>
    </row>
    <row r="13" spans="1:2">
      <c r="A13" s="1" t="s">
        <v>70</v>
      </c>
      <c r="B13" s="8">
        <f>SUM(B9:B11)</f>
        <v>3600</v>
      </c>
    </row>
    <row r="15" spans="1:2" ht="22.35" customHeight="1">
      <c r="A15" s="13" t="s">
        <v>71</v>
      </c>
      <c r="B15" s="13"/>
    </row>
  </sheetData>
  <mergeCells count="2">
    <mergeCell ref="A1:B1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"/>
  <sheetViews>
    <sheetView zoomScaleNormal="100" workbookViewId="0">
      <selection activeCell="B28" sqref="B28"/>
    </sheetView>
  </sheetViews>
  <sheetFormatPr defaultColWidth="8.7109375" defaultRowHeight="15"/>
  <cols>
    <col min="1" max="1" width="30" customWidth="1"/>
    <col min="2" max="2" width="18" customWidth="1"/>
    <col min="3" max="4" width="4" customWidth="1"/>
  </cols>
  <sheetData>
    <row r="1" spans="1:2" ht="27.75" customHeight="1">
      <c r="A1" s="14" t="s">
        <v>13</v>
      </c>
      <c r="B1" s="14"/>
    </row>
    <row r="3" spans="1:2">
      <c r="A3" s="1" t="s">
        <v>72</v>
      </c>
    </row>
    <row r="4" spans="1:2" ht="26.85">
      <c r="A4" s="5" t="s">
        <v>73</v>
      </c>
      <c r="B4" s="5" t="s">
        <v>74</v>
      </c>
    </row>
    <row r="5" spans="1:2">
      <c r="A5" s="6" t="s">
        <v>75</v>
      </c>
      <c r="B5" s="7">
        <v>1500</v>
      </c>
    </row>
    <row r="6" spans="1:2">
      <c r="A6" s="12"/>
      <c r="B6" s="7"/>
    </row>
    <row r="7" spans="1:2">
      <c r="A7" s="12"/>
      <c r="B7" s="7"/>
    </row>
    <row r="8" spans="1:2">
      <c r="A8" s="12"/>
      <c r="B8" s="7"/>
    </row>
    <row r="9" spans="1:2">
      <c r="A9" s="12"/>
      <c r="B9" s="7"/>
    </row>
    <row r="10" spans="1:2">
      <c r="A10" s="1" t="s">
        <v>76</v>
      </c>
      <c r="B10" s="8">
        <f>SUM(B5:B9)</f>
        <v>1500</v>
      </c>
    </row>
    <row r="12" spans="1:2">
      <c r="A12" s="1" t="s">
        <v>77</v>
      </c>
    </row>
    <row r="13" spans="1:2">
      <c r="A13" s="5" t="s">
        <v>78</v>
      </c>
      <c r="B13" s="5" t="s">
        <v>25</v>
      </c>
    </row>
    <row r="14" spans="1:2">
      <c r="A14" s="12"/>
      <c r="B14" s="7"/>
    </row>
    <row r="15" spans="1:2">
      <c r="A15" s="12"/>
      <c r="B15" s="7"/>
    </row>
    <row r="16" spans="1:2">
      <c r="A16" s="12"/>
      <c r="B16" s="7"/>
    </row>
    <row r="17" spans="1:2">
      <c r="A17" s="12"/>
      <c r="B17" s="7"/>
    </row>
    <row r="18" spans="1:2">
      <c r="A18" s="12"/>
      <c r="B18" s="7"/>
    </row>
    <row r="19" spans="1:2">
      <c r="A19" s="1" t="s">
        <v>79</v>
      </c>
      <c r="B19" s="8">
        <f>SUM(B14:B18)</f>
        <v>0</v>
      </c>
    </row>
    <row r="21" spans="1:2">
      <c r="A21" s="1" t="s">
        <v>80</v>
      </c>
    </row>
    <row r="22" spans="1:2" ht="26.85">
      <c r="A22" s="5" t="s">
        <v>78</v>
      </c>
      <c r="B22" s="5" t="s">
        <v>81</v>
      </c>
    </row>
    <row r="23" spans="1:2">
      <c r="A23" s="6" t="s">
        <v>82</v>
      </c>
      <c r="B23" s="7">
        <v>400</v>
      </c>
    </row>
    <row r="24" spans="1:2">
      <c r="A24" s="6" t="s">
        <v>83</v>
      </c>
      <c r="B24" s="7">
        <v>300</v>
      </c>
    </row>
    <row r="25" spans="1:2">
      <c r="A25" s="6" t="s">
        <v>84</v>
      </c>
      <c r="B25" s="7">
        <v>200</v>
      </c>
    </row>
    <row r="26" spans="1:2">
      <c r="A26" s="12"/>
      <c r="B26" s="7"/>
    </row>
    <row r="27" spans="1:2">
      <c r="A27" s="12"/>
      <c r="B27" s="7"/>
    </row>
    <row r="28" spans="1:2">
      <c r="A28" s="1" t="s">
        <v>85</v>
      </c>
      <c r="B28" s="8">
        <f>SUM(B23:B27)</f>
        <v>900</v>
      </c>
    </row>
    <row r="30" spans="1:2" ht="32.85" customHeight="1">
      <c r="A30" s="13" t="s">
        <v>86</v>
      </c>
      <c r="B30" s="13"/>
    </row>
  </sheetData>
  <mergeCells count="2">
    <mergeCell ref="A1:B1"/>
    <mergeCell ref="A30:B3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zoomScaleNormal="100" workbookViewId="0">
      <selection sqref="A1:D1"/>
    </sheetView>
  </sheetViews>
  <sheetFormatPr defaultColWidth="8.7109375" defaultRowHeight="15"/>
  <cols>
    <col min="1" max="1" width="30" customWidth="1"/>
    <col min="2" max="4" width="16" customWidth="1"/>
    <col min="5" max="5" width="4" customWidth="1"/>
  </cols>
  <sheetData>
    <row r="1" spans="1:4" ht="27.75" customHeight="1">
      <c r="A1" s="14" t="s">
        <v>87</v>
      </c>
      <c r="B1" s="14"/>
      <c r="C1" s="14"/>
      <c r="D1" s="14"/>
    </row>
    <row r="3" spans="1:4">
      <c r="A3" s="5" t="s">
        <v>88</v>
      </c>
      <c r="B3" s="5" t="s">
        <v>89</v>
      </c>
      <c r="C3" s="5" t="s">
        <v>90</v>
      </c>
      <c r="D3" s="5" t="s">
        <v>91</v>
      </c>
    </row>
    <row r="4" spans="1:4">
      <c r="A4" s="6" t="s">
        <v>92</v>
      </c>
      <c r="B4" s="7"/>
      <c r="C4" s="7"/>
      <c r="D4" s="10">
        <f>B4-C4</f>
        <v>0</v>
      </c>
    </row>
    <row r="5" spans="1:4">
      <c r="A5" s="6" t="s">
        <v>93</v>
      </c>
      <c r="B5" s="7"/>
      <c r="C5" s="7"/>
      <c r="D5" s="10">
        <f>B5-C5</f>
        <v>0</v>
      </c>
    </row>
    <row r="6" spans="1:4">
      <c r="A6" s="6"/>
      <c r="B6" s="7"/>
      <c r="C6" s="7"/>
      <c r="D6" s="10">
        <f>B6-C6</f>
        <v>0</v>
      </c>
    </row>
    <row r="8" spans="1:4">
      <c r="A8" s="1" t="s">
        <v>94</v>
      </c>
      <c r="D8" s="8">
        <f>SUM(D4:D6)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zoomScaleNormal="100" workbookViewId="0">
      <selection activeCell="E19" sqref="E19"/>
    </sheetView>
  </sheetViews>
  <sheetFormatPr defaultColWidth="8.7109375" defaultRowHeight="15"/>
  <cols>
    <col min="1" max="1" width="38" customWidth="1"/>
    <col min="2" max="2" width="18" customWidth="1"/>
    <col min="3" max="4" width="4" customWidth="1"/>
  </cols>
  <sheetData>
    <row r="1" spans="1:2" ht="27.75" customHeight="1">
      <c r="A1" s="14" t="s">
        <v>95</v>
      </c>
      <c r="B1" s="14"/>
    </row>
    <row r="3" spans="1:2">
      <c r="A3" s="1" t="s">
        <v>96</v>
      </c>
      <c r="B3" s="10">
        <f>Registration!B26</f>
        <v>14300</v>
      </c>
    </row>
    <row r="4" spans="1:2">
      <c r="A4" s="1" t="s">
        <v>97</v>
      </c>
      <c r="B4" s="10">
        <f>'Lab Budget'!G21</f>
        <v>555</v>
      </c>
    </row>
    <row r="5" spans="1:2">
      <c r="A5" s="1" t="s">
        <v>98</v>
      </c>
      <c r="B5" s="10">
        <f>'Travel &amp; Accommodation'!B13</f>
        <v>3600</v>
      </c>
    </row>
    <row r="7" spans="1:2">
      <c r="A7" s="1" t="s">
        <v>99</v>
      </c>
      <c r="B7" s="16">
        <f>SUM(B3:B5)</f>
        <v>18455</v>
      </c>
    </row>
    <row r="9" spans="1:2">
      <c r="A9" s="1" t="s">
        <v>100</v>
      </c>
      <c r="B9" s="10">
        <f>'Grants &amp; Sponsors'!B10</f>
        <v>1500</v>
      </c>
    </row>
    <row r="10" spans="1:2">
      <c r="A10" s="1" t="s">
        <v>77</v>
      </c>
      <c r="B10" s="10">
        <f>'Grants &amp; Sponsors'!B19</f>
        <v>0</v>
      </c>
    </row>
    <row r="11" spans="1:2">
      <c r="A11" s="1" t="s">
        <v>101</v>
      </c>
      <c r="B11" s="10">
        <f>Fundraising!D8</f>
        <v>0</v>
      </c>
    </row>
    <row r="13" spans="1:2">
      <c r="A13" s="1" t="s">
        <v>102</v>
      </c>
      <c r="B13" s="16">
        <f>SUM(B9:B11)</f>
        <v>1500</v>
      </c>
    </row>
    <row r="15" spans="1:2">
      <c r="A15" s="1" t="s">
        <v>103</v>
      </c>
      <c r="B15" s="15">
        <f>B7-B13</f>
        <v>16955</v>
      </c>
    </row>
    <row r="17" spans="1:2" ht="22.35" customHeight="1">
      <c r="A17" s="13" t="s">
        <v>104</v>
      </c>
      <c r="B17" s="13"/>
    </row>
  </sheetData>
  <mergeCells count="2">
    <mergeCell ref="A1:B1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María Gómez Gómez</cp:lastModifiedBy>
  <cp:revision>0</cp:revision>
  <dcterms:created xsi:type="dcterms:W3CDTF">2026-07-31T18:12:14Z</dcterms:created>
  <dcterms:modified xsi:type="dcterms:W3CDTF">2026-08-01T16:05:30Z</dcterms:modified>
  <cp:category/>
  <cp:contentStatus/>
</cp:coreProperties>
</file>