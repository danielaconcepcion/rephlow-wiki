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mc:AlternateContent xmlns:mc="http://schemas.openxmlformats.org/markup-compatibility/2006">
    <mc:Choice Requires="x15">
      <x15ac:absPath xmlns:x15ac="http://schemas.microsoft.com/office/spreadsheetml/2010/11/ac" url="https://ucomplutense-my.sharepoint.com/personal/divilla_ucm_es/Documents/iGEM 2026/Science/"/>
    </mc:Choice>
  </mc:AlternateContent>
  <xr:revisionPtr revIDLastSave="0" documentId="8_{77BEFDA4-1B6C-487B-A206-49F617509903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(NO EDITAR) Plantilla ensayo" sheetId="5" r:id="rId1"/>
    <sheet name="10-07-25" sheetId="1" r:id="rId2"/>
    <sheet name="Valoración de fosforo 1 14-07" sheetId="2" r:id="rId3"/>
    <sheet name="Valoración de fósforo 2 15-07" sheetId="3" r:id="rId4"/>
    <sheet name="Ensayo 16-07-2025" sheetId="9" r:id="rId5"/>
    <sheet name="Ensayo 18-07-2025" sheetId="11" r:id="rId6"/>
    <sheet name="Ensayo 21-07-2025" sheetId="12" r:id="rId7"/>
    <sheet name="OLIGOS" sheetId="13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" i="12" l="1"/>
  <c r="W12" i="12"/>
  <c r="I17" i="12"/>
  <c r="E20" i="12"/>
  <c r="D17" i="12"/>
  <c r="U19" i="12" s="1"/>
  <c r="V19" i="12" s="1"/>
  <c r="W19" i="12" s="1"/>
  <c r="E17" i="12"/>
  <c r="H18" i="12"/>
  <c r="L18" i="12"/>
  <c r="P18" i="12"/>
  <c r="T18" i="12"/>
  <c r="U18" i="12"/>
  <c r="V18" i="12" s="1"/>
  <c r="W18" i="12" s="1"/>
  <c r="X18" i="12"/>
  <c r="AB18" i="12"/>
  <c r="AC18" i="12"/>
  <c r="AD18" i="12"/>
  <c r="AE18" i="12" s="1"/>
  <c r="H19" i="12"/>
  <c r="L19" i="12"/>
  <c r="P19" i="12"/>
  <c r="T19" i="12"/>
  <c r="X19" i="12"/>
  <c r="AB19" i="12"/>
  <c r="AC19" i="12"/>
  <c r="AD19" i="12" s="1"/>
  <c r="AE19" i="12" s="1"/>
  <c r="H20" i="12"/>
  <c r="L20" i="12"/>
  <c r="M20" i="12"/>
  <c r="N20" i="12"/>
  <c r="O20" i="12" s="1"/>
  <c r="P20" i="12"/>
  <c r="T20" i="12"/>
  <c r="X20" i="12"/>
  <c r="AB20" i="12"/>
  <c r="AC20" i="12"/>
  <c r="AD20" i="12"/>
  <c r="AE20" i="12" s="1"/>
  <c r="H21" i="12"/>
  <c r="L21" i="12"/>
  <c r="P21" i="12"/>
  <c r="Q21" i="12"/>
  <c r="R21" i="12" s="1"/>
  <c r="S21" i="12" s="1"/>
  <c r="T21" i="12"/>
  <c r="X21" i="12"/>
  <c r="Y21" i="12"/>
  <c r="Z21" i="12" s="1"/>
  <c r="AA21" i="12" s="1"/>
  <c r="AB21" i="12"/>
  <c r="G18" i="12"/>
  <c r="G19" i="12"/>
  <c r="G20" i="12"/>
  <c r="G21" i="12"/>
  <c r="I6" i="13"/>
  <c r="J6" i="13"/>
  <c r="I7" i="13"/>
  <c r="J7" i="13"/>
  <c r="I8" i="13"/>
  <c r="J8" i="13"/>
  <c r="I9" i="13"/>
  <c r="J9" i="13" s="1"/>
  <c r="I10" i="13"/>
  <c r="J10" i="13"/>
  <c r="I11" i="13"/>
  <c r="J11" i="13"/>
  <c r="I12" i="13"/>
  <c r="J12" i="13"/>
  <c r="I13" i="13"/>
  <c r="J13" i="13" s="1"/>
  <c r="I14" i="13"/>
  <c r="J14" i="13"/>
  <c r="I15" i="13"/>
  <c r="J15" i="13"/>
  <c r="I16" i="13"/>
  <c r="J16" i="13"/>
  <c r="J5" i="13"/>
  <c r="I5" i="13"/>
  <c r="G6" i="13"/>
  <c r="G7" i="13"/>
  <c r="G8" i="13"/>
  <c r="G9" i="13"/>
  <c r="G10" i="13"/>
  <c r="G11" i="13"/>
  <c r="G12" i="13"/>
  <c r="G13" i="13"/>
  <c r="G14" i="13"/>
  <c r="G15" i="13"/>
  <c r="G16" i="13"/>
  <c r="G5" i="13"/>
  <c r="X10" i="12"/>
  <c r="G17" i="12"/>
  <c r="AB17" i="12"/>
  <c r="X17" i="12"/>
  <c r="T17" i="12"/>
  <c r="P17" i="12"/>
  <c r="L17" i="12"/>
  <c r="H17" i="12"/>
  <c r="AB15" i="12"/>
  <c r="X15" i="12"/>
  <c r="T15" i="12"/>
  <c r="P15" i="12"/>
  <c r="L15" i="12"/>
  <c r="H15" i="12"/>
  <c r="AE12" i="12"/>
  <c r="AA12" i="12"/>
  <c r="S12" i="12"/>
  <c r="O12" i="12"/>
  <c r="K12" i="12"/>
  <c r="E15" i="12"/>
  <c r="AE11" i="12"/>
  <c r="AA11" i="12"/>
  <c r="W11" i="12"/>
  <c r="S11" i="12"/>
  <c r="O11" i="12"/>
  <c r="K11" i="12"/>
  <c r="E14" i="12"/>
  <c r="AA10" i="12"/>
  <c r="W10" i="12"/>
  <c r="S10" i="12"/>
  <c r="O10" i="12"/>
  <c r="K10" i="12"/>
  <c r="E13" i="12"/>
  <c r="E12" i="12"/>
  <c r="AE9" i="12"/>
  <c r="AA9" i="12"/>
  <c r="W9" i="12"/>
  <c r="S9" i="12"/>
  <c r="O9" i="12"/>
  <c r="K9" i="12"/>
  <c r="E11" i="12"/>
  <c r="E10" i="12"/>
  <c r="E9" i="12"/>
  <c r="AE8" i="12"/>
  <c r="AA8" i="12"/>
  <c r="W8" i="12"/>
  <c r="S8" i="12"/>
  <c r="O8" i="12"/>
  <c r="K8" i="12"/>
  <c r="E8" i="12"/>
  <c r="E7" i="12"/>
  <c r="H27" i="11"/>
  <c r="S9" i="11"/>
  <c r="O11" i="11"/>
  <c r="O13" i="11"/>
  <c r="AR33" i="11"/>
  <c r="AN33" i="11"/>
  <c r="AJ33" i="11"/>
  <c r="AF33" i="11"/>
  <c r="AB33" i="11"/>
  <c r="X33" i="11"/>
  <c r="T33" i="11"/>
  <c r="P33" i="11"/>
  <c r="L33" i="11"/>
  <c r="H33" i="11"/>
  <c r="AR32" i="11"/>
  <c r="AN32" i="11"/>
  <c r="AJ32" i="11"/>
  <c r="AF32" i="11"/>
  <c r="AB32" i="11"/>
  <c r="X32" i="11"/>
  <c r="T32" i="11"/>
  <c r="P32" i="11"/>
  <c r="L32" i="11"/>
  <c r="H32" i="11"/>
  <c r="AR31" i="11"/>
  <c r="AN31" i="11"/>
  <c r="AJ31" i="11"/>
  <c r="AF31" i="11"/>
  <c r="AB31" i="11"/>
  <c r="X31" i="11"/>
  <c r="T31" i="11"/>
  <c r="P31" i="11"/>
  <c r="L31" i="11"/>
  <c r="H31" i="11"/>
  <c r="AR30" i="11"/>
  <c r="AN30" i="11"/>
  <c r="AJ30" i="11"/>
  <c r="AF30" i="11"/>
  <c r="AB30" i="11"/>
  <c r="X30" i="11"/>
  <c r="T30" i="11"/>
  <c r="P30" i="11"/>
  <c r="L30" i="11"/>
  <c r="H30" i="11"/>
  <c r="AR29" i="11"/>
  <c r="AN29" i="11"/>
  <c r="AJ29" i="11"/>
  <c r="AF29" i="11"/>
  <c r="AB29" i="11"/>
  <c r="X29" i="11"/>
  <c r="T29" i="11"/>
  <c r="P29" i="11"/>
  <c r="L29" i="11"/>
  <c r="H29" i="11"/>
  <c r="AR28" i="11"/>
  <c r="AN28" i="11"/>
  <c r="AJ28" i="11"/>
  <c r="AF28" i="11"/>
  <c r="AB28" i="11"/>
  <c r="X28" i="11"/>
  <c r="T28" i="11"/>
  <c r="P28" i="11"/>
  <c r="L28" i="11"/>
  <c r="H28" i="11"/>
  <c r="AR27" i="11"/>
  <c r="AN27" i="11"/>
  <c r="AJ27" i="11"/>
  <c r="AF27" i="11"/>
  <c r="AB27" i="11"/>
  <c r="X27" i="11"/>
  <c r="T27" i="11"/>
  <c r="P27" i="11"/>
  <c r="L27" i="11"/>
  <c r="AR26" i="11"/>
  <c r="AN26" i="11"/>
  <c r="AJ26" i="11"/>
  <c r="AF26" i="11"/>
  <c r="AB26" i="11"/>
  <c r="X26" i="11"/>
  <c r="T26" i="11"/>
  <c r="P26" i="11"/>
  <c r="L26" i="11"/>
  <c r="H26" i="11"/>
  <c r="AR25" i="11"/>
  <c r="AN25" i="11"/>
  <c r="AJ25" i="11"/>
  <c r="AF25" i="11"/>
  <c r="AB25" i="11"/>
  <c r="X25" i="11"/>
  <c r="T25" i="11"/>
  <c r="P25" i="11"/>
  <c r="L25" i="11"/>
  <c r="H25" i="11"/>
  <c r="AR24" i="11"/>
  <c r="AN24" i="11"/>
  <c r="AJ24" i="11"/>
  <c r="AF24" i="11"/>
  <c r="AB24" i="11"/>
  <c r="X24" i="11"/>
  <c r="T24" i="11"/>
  <c r="P24" i="11"/>
  <c r="L24" i="11"/>
  <c r="H24" i="11"/>
  <c r="AR23" i="11"/>
  <c r="AN23" i="11"/>
  <c r="AJ23" i="11"/>
  <c r="AF23" i="11"/>
  <c r="AB23" i="11"/>
  <c r="X23" i="11"/>
  <c r="T23" i="11"/>
  <c r="P23" i="11"/>
  <c r="L23" i="11"/>
  <c r="H23" i="11"/>
  <c r="AR21" i="11"/>
  <c r="AN21" i="11"/>
  <c r="AJ21" i="11"/>
  <c r="AF21" i="11"/>
  <c r="AB21" i="11"/>
  <c r="X21" i="11"/>
  <c r="T21" i="11"/>
  <c r="P21" i="11"/>
  <c r="L21" i="11"/>
  <c r="H21" i="11"/>
  <c r="AU18" i="11"/>
  <c r="AQ18" i="11"/>
  <c r="AM18" i="11"/>
  <c r="AI18" i="11"/>
  <c r="AE18" i="11"/>
  <c r="AA18" i="11"/>
  <c r="W18" i="11"/>
  <c r="S18" i="11"/>
  <c r="O18" i="11"/>
  <c r="K18" i="11"/>
  <c r="AU17" i="11"/>
  <c r="AQ17" i="11"/>
  <c r="AM17" i="11"/>
  <c r="AI17" i="11"/>
  <c r="AE17" i="11"/>
  <c r="AA17" i="11"/>
  <c r="W17" i="11"/>
  <c r="S17" i="11"/>
  <c r="O17" i="11"/>
  <c r="K17" i="11"/>
  <c r="AU16" i="11"/>
  <c r="AQ16" i="11"/>
  <c r="AM16" i="11"/>
  <c r="AI16" i="11"/>
  <c r="AE16" i="11"/>
  <c r="AA16" i="11"/>
  <c r="W16" i="11"/>
  <c r="S16" i="11"/>
  <c r="O16" i="11"/>
  <c r="K16" i="11"/>
  <c r="AU15" i="11"/>
  <c r="AQ15" i="11"/>
  <c r="AM15" i="11"/>
  <c r="AI15" i="11"/>
  <c r="AE15" i="11"/>
  <c r="AA15" i="11"/>
  <c r="W15" i="11"/>
  <c r="S15" i="11"/>
  <c r="O15" i="11"/>
  <c r="K15" i="11"/>
  <c r="E15" i="11"/>
  <c r="AU14" i="11"/>
  <c r="AQ14" i="11"/>
  <c r="AM14" i="11"/>
  <c r="AI14" i="11"/>
  <c r="AE14" i="11"/>
  <c r="AA14" i="11"/>
  <c r="W14" i="11"/>
  <c r="S14" i="11"/>
  <c r="O14" i="11"/>
  <c r="K14" i="11"/>
  <c r="E14" i="11"/>
  <c r="E26" i="11" s="1"/>
  <c r="AU13" i="11"/>
  <c r="AQ13" i="11"/>
  <c r="AM13" i="11"/>
  <c r="AI13" i="11"/>
  <c r="AE13" i="11"/>
  <c r="AA13" i="11"/>
  <c r="W13" i="11"/>
  <c r="S13" i="11"/>
  <c r="K13" i="11"/>
  <c r="E13" i="11"/>
  <c r="AU12" i="11"/>
  <c r="AQ12" i="11"/>
  <c r="AM12" i="11"/>
  <c r="AI12" i="11"/>
  <c r="AE12" i="11"/>
  <c r="AA12" i="11"/>
  <c r="W12" i="11"/>
  <c r="S12" i="11"/>
  <c r="O12" i="11"/>
  <c r="E12" i="11"/>
  <c r="AU11" i="11"/>
  <c r="AQ11" i="11"/>
  <c r="AM11" i="11"/>
  <c r="AI11" i="11"/>
  <c r="AE11" i="11"/>
  <c r="AA11" i="11"/>
  <c r="W11" i="11"/>
  <c r="S11" i="11"/>
  <c r="K11" i="11"/>
  <c r="E11" i="11"/>
  <c r="AU10" i="11"/>
  <c r="AQ10" i="11"/>
  <c r="AM10" i="11"/>
  <c r="AI10" i="11"/>
  <c r="AE10" i="11"/>
  <c r="AA10" i="11"/>
  <c r="W10" i="11"/>
  <c r="S10" i="11"/>
  <c r="O10" i="11"/>
  <c r="K10" i="11"/>
  <c r="E10" i="11"/>
  <c r="AU9" i="11"/>
  <c r="AQ9" i="11"/>
  <c r="AM9" i="11"/>
  <c r="AI9" i="11"/>
  <c r="AE9" i="11"/>
  <c r="AA9" i="11"/>
  <c r="W9" i="11"/>
  <c r="O9" i="11"/>
  <c r="K9" i="11"/>
  <c r="E9" i="11"/>
  <c r="AU8" i="11"/>
  <c r="AQ8" i="11"/>
  <c r="AM8" i="11"/>
  <c r="AI8" i="11"/>
  <c r="AE8" i="11"/>
  <c r="AA8" i="11"/>
  <c r="W8" i="11"/>
  <c r="S8" i="11"/>
  <c r="O8" i="11"/>
  <c r="K8" i="11"/>
  <c r="E8" i="11"/>
  <c r="E7" i="11"/>
  <c r="AR21" i="9"/>
  <c r="AN21" i="9"/>
  <c r="AJ21" i="9"/>
  <c r="AF21" i="9"/>
  <c r="AB21" i="9"/>
  <c r="X21" i="9"/>
  <c r="T21" i="9"/>
  <c r="P21" i="9"/>
  <c r="L21" i="9"/>
  <c r="H21" i="9"/>
  <c r="AU18" i="9"/>
  <c r="AQ18" i="9"/>
  <c r="AM18" i="9"/>
  <c r="AI18" i="9"/>
  <c r="AE18" i="9"/>
  <c r="AA18" i="9"/>
  <c r="W18" i="9"/>
  <c r="S18" i="9"/>
  <c r="O18" i="9"/>
  <c r="K18" i="9"/>
  <c r="AU17" i="9"/>
  <c r="AQ17" i="9"/>
  <c r="AM17" i="9"/>
  <c r="AI17" i="9"/>
  <c r="AE17" i="9"/>
  <c r="AA17" i="9"/>
  <c r="W17" i="9"/>
  <c r="S17" i="9"/>
  <c r="O17" i="9"/>
  <c r="K17" i="9"/>
  <c r="AU16" i="9"/>
  <c r="AQ16" i="9"/>
  <c r="AM16" i="9"/>
  <c r="AI16" i="9"/>
  <c r="AE16" i="9"/>
  <c r="AA16" i="9"/>
  <c r="W16" i="9"/>
  <c r="S16" i="9"/>
  <c r="O16" i="9"/>
  <c r="K16" i="9"/>
  <c r="AU15" i="9"/>
  <c r="AQ15" i="9"/>
  <c r="AM15" i="9"/>
  <c r="AI15" i="9"/>
  <c r="AE15" i="9"/>
  <c r="AA15" i="9"/>
  <c r="W15" i="9"/>
  <c r="S15" i="9"/>
  <c r="O15" i="9"/>
  <c r="K15" i="9"/>
  <c r="AU14" i="9"/>
  <c r="AQ14" i="9"/>
  <c r="AM14" i="9"/>
  <c r="AI14" i="9"/>
  <c r="AE14" i="9"/>
  <c r="AA14" i="9"/>
  <c r="W14" i="9"/>
  <c r="S14" i="9"/>
  <c r="O14" i="9"/>
  <c r="K14" i="9"/>
  <c r="AU13" i="9"/>
  <c r="AQ13" i="9"/>
  <c r="AM13" i="9"/>
  <c r="AI13" i="9"/>
  <c r="AE13" i="9"/>
  <c r="AA13" i="9"/>
  <c r="W13" i="9"/>
  <c r="S13" i="9"/>
  <c r="O13" i="9"/>
  <c r="K13" i="9"/>
  <c r="AU12" i="9"/>
  <c r="AQ12" i="9"/>
  <c r="AM12" i="9"/>
  <c r="AI12" i="9"/>
  <c r="AE12" i="9"/>
  <c r="AA12" i="9"/>
  <c r="W12" i="9"/>
  <c r="S12" i="9"/>
  <c r="O12" i="9"/>
  <c r="K12" i="9"/>
  <c r="AU11" i="9"/>
  <c r="AQ11" i="9"/>
  <c r="AM11" i="9"/>
  <c r="AI11" i="9"/>
  <c r="AE11" i="9"/>
  <c r="AA11" i="9"/>
  <c r="W11" i="9"/>
  <c r="S11" i="9"/>
  <c r="O11" i="9"/>
  <c r="K11" i="9"/>
  <c r="AU10" i="9"/>
  <c r="AQ10" i="9"/>
  <c r="AM10" i="9"/>
  <c r="AI10" i="9"/>
  <c r="AE10" i="9"/>
  <c r="AA10" i="9"/>
  <c r="W10" i="9"/>
  <c r="S10" i="9"/>
  <c r="O10" i="9"/>
  <c r="K10" i="9"/>
  <c r="AU9" i="9"/>
  <c r="AQ9" i="9"/>
  <c r="AM9" i="9"/>
  <c r="AI9" i="9"/>
  <c r="AE9" i="9"/>
  <c r="AA9" i="9"/>
  <c r="W9" i="9"/>
  <c r="S9" i="9"/>
  <c r="O9" i="9"/>
  <c r="K9" i="9"/>
  <c r="AU8" i="9"/>
  <c r="AQ8" i="9"/>
  <c r="AM8" i="9"/>
  <c r="AI8" i="9"/>
  <c r="AE8" i="9"/>
  <c r="AA8" i="9"/>
  <c r="W8" i="9"/>
  <c r="S8" i="9"/>
  <c r="O8" i="9"/>
  <c r="K8" i="9"/>
  <c r="AR33" i="9"/>
  <c r="AN33" i="9"/>
  <c r="AJ33" i="9"/>
  <c r="AF33" i="9"/>
  <c r="AB33" i="9"/>
  <c r="X33" i="9"/>
  <c r="T33" i="9"/>
  <c r="P33" i="9"/>
  <c r="L33" i="9"/>
  <c r="H33" i="9"/>
  <c r="AR32" i="9"/>
  <c r="AN32" i="9"/>
  <c r="AJ32" i="9"/>
  <c r="AF32" i="9"/>
  <c r="AB32" i="9"/>
  <c r="X32" i="9"/>
  <c r="T32" i="9"/>
  <c r="P32" i="9"/>
  <c r="L32" i="9"/>
  <c r="H32" i="9"/>
  <c r="AR31" i="9"/>
  <c r="AN31" i="9"/>
  <c r="AJ31" i="9"/>
  <c r="AF31" i="9"/>
  <c r="AB31" i="9"/>
  <c r="X31" i="9"/>
  <c r="T31" i="9"/>
  <c r="P31" i="9"/>
  <c r="L31" i="9"/>
  <c r="H31" i="9"/>
  <c r="AR30" i="9"/>
  <c r="AN30" i="9"/>
  <c r="AJ30" i="9"/>
  <c r="AF30" i="9"/>
  <c r="AB30" i="9"/>
  <c r="X30" i="9"/>
  <c r="T30" i="9"/>
  <c r="P30" i="9"/>
  <c r="L30" i="9"/>
  <c r="H30" i="9"/>
  <c r="AR29" i="9"/>
  <c r="AN29" i="9"/>
  <c r="AJ29" i="9"/>
  <c r="AF29" i="9"/>
  <c r="AB29" i="9"/>
  <c r="X29" i="9"/>
  <c r="T29" i="9"/>
  <c r="P29" i="9"/>
  <c r="L29" i="9"/>
  <c r="H29" i="9"/>
  <c r="AR28" i="9"/>
  <c r="AN28" i="9"/>
  <c r="AJ28" i="9"/>
  <c r="AF28" i="9"/>
  <c r="AB28" i="9"/>
  <c r="X28" i="9"/>
  <c r="T28" i="9"/>
  <c r="P28" i="9"/>
  <c r="L28" i="9"/>
  <c r="H28" i="9"/>
  <c r="AR27" i="9"/>
  <c r="AN27" i="9"/>
  <c r="AJ27" i="9"/>
  <c r="AF27" i="9"/>
  <c r="AB27" i="9"/>
  <c r="X27" i="9"/>
  <c r="T27" i="9"/>
  <c r="P27" i="9"/>
  <c r="L27" i="9"/>
  <c r="H27" i="9"/>
  <c r="AR26" i="9"/>
  <c r="AN26" i="9"/>
  <c r="AJ26" i="9"/>
  <c r="AF26" i="9"/>
  <c r="AB26" i="9"/>
  <c r="X26" i="9"/>
  <c r="T26" i="9"/>
  <c r="P26" i="9"/>
  <c r="L26" i="9"/>
  <c r="H26" i="9"/>
  <c r="AR25" i="9"/>
  <c r="AN25" i="9"/>
  <c r="AJ25" i="9"/>
  <c r="AF25" i="9"/>
  <c r="AB25" i="9"/>
  <c r="X25" i="9"/>
  <c r="T25" i="9"/>
  <c r="P25" i="9"/>
  <c r="L25" i="9"/>
  <c r="H25" i="9"/>
  <c r="AR24" i="9"/>
  <c r="AN24" i="9"/>
  <c r="AJ24" i="9"/>
  <c r="AF24" i="9"/>
  <c r="AB24" i="9"/>
  <c r="X24" i="9"/>
  <c r="T24" i="9"/>
  <c r="P24" i="9"/>
  <c r="L24" i="9"/>
  <c r="H24" i="9"/>
  <c r="AR23" i="9"/>
  <c r="AN23" i="9"/>
  <c r="AJ23" i="9"/>
  <c r="AF23" i="9"/>
  <c r="AB23" i="9"/>
  <c r="X23" i="9"/>
  <c r="T23" i="9"/>
  <c r="P23" i="9"/>
  <c r="L23" i="9"/>
  <c r="H23" i="9"/>
  <c r="E15" i="9"/>
  <c r="E14" i="9"/>
  <c r="E26" i="9" s="1"/>
  <c r="E13" i="9"/>
  <c r="E25" i="9" s="1"/>
  <c r="E12" i="9"/>
  <c r="E11" i="9"/>
  <c r="E10" i="9"/>
  <c r="E9" i="9"/>
  <c r="E8" i="9"/>
  <c r="E7" i="9"/>
  <c r="D17" i="5"/>
  <c r="E17" i="5"/>
  <c r="E21" i="5"/>
  <c r="E22" i="5"/>
  <c r="E23" i="5"/>
  <c r="E24" i="5"/>
  <c r="E25" i="5"/>
  <c r="E26" i="5"/>
  <c r="E27" i="5"/>
  <c r="E20" i="5"/>
  <c r="H23" i="5"/>
  <c r="M19" i="12" l="1"/>
  <c r="N19" i="12" s="1"/>
  <c r="O19" i="12" s="1"/>
  <c r="M18" i="12"/>
  <c r="N18" i="12" s="1"/>
  <c r="O18" i="12" s="1"/>
  <c r="I21" i="12"/>
  <c r="J21" i="12" s="1"/>
  <c r="K21" i="12" s="1"/>
  <c r="U20" i="12"/>
  <c r="V20" i="12" s="1"/>
  <c r="W20" i="12" s="1"/>
  <c r="Q18" i="12"/>
  <c r="R18" i="12" s="1"/>
  <c r="S18" i="12" s="1"/>
  <c r="AC21" i="12"/>
  <c r="AD21" i="12" s="1"/>
  <c r="AE21" i="12" s="1"/>
  <c r="U21" i="12"/>
  <c r="V21" i="12" s="1"/>
  <c r="W21" i="12" s="1"/>
  <c r="M21" i="12"/>
  <c r="N21" i="12" s="1"/>
  <c r="O21" i="12" s="1"/>
  <c r="I18" i="12"/>
  <c r="J18" i="12" s="1"/>
  <c r="K18" i="12" s="1"/>
  <c r="Y20" i="12"/>
  <c r="Z20" i="12" s="1"/>
  <c r="AA20" i="12" s="1"/>
  <c r="Q20" i="12"/>
  <c r="R20" i="12" s="1"/>
  <c r="S20" i="12" s="1"/>
  <c r="I20" i="12"/>
  <c r="J20" i="12" s="1"/>
  <c r="K20" i="12" s="1"/>
  <c r="Y19" i="12"/>
  <c r="Z19" i="12" s="1"/>
  <c r="AA19" i="12" s="1"/>
  <c r="Q19" i="12"/>
  <c r="R19" i="12" s="1"/>
  <c r="S19" i="12" s="1"/>
  <c r="I19" i="12"/>
  <c r="J19" i="12" s="1"/>
  <c r="K19" i="12" s="1"/>
  <c r="Y18" i="12"/>
  <c r="Z18" i="12" s="1"/>
  <c r="AA18" i="12" s="1"/>
  <c r="E27" i="12"/>
  <c r="E24" i="12"/>
  <c r="E22" i="12"/>
  <c r="E21" i="12"/>
  <c r="E25" i="12"/>
  <c r="E23" i="12"/>
  <c r="E26" i="12"/>
  <c r="E22" i="11"/>
  <c r="E25" i="11"/>
  <c r="E20" i="11"/>
  <c r="E23" i="11"/>
  <c r="E21" i="11"/>
  <c r="E24" i="11"/>
  <c r="E27" i="11"/>
  <c r="E21" i="9"/>
  <c r="E22" i="9"/>
  <c r="E23" i="9"/>
  <c r="E27" i="9"/>
  <c r="E20" i="9"/>
  <c r="D17" i="9" s="1"/>
  <c r="E24" i="9"/>
  <c r="I23" i="5"/>
  <c r="H21" i="5"/>
  <c r="L21" i="5"/>
  <c r="P21" i="5"/>
  <c r="T21" i="5"/>
  <c r="X21" i="5"/>
  <c r="AB21" i="5"/>
  <c r="AF21" i="5"/>
  <c r="AJ21" i="5"/>
  <c r="AN21" i="5"/>
  <c r="AR21" i="5"/>
  <c r="H24" i="5"/>
  <c r="I24" i="5"/>
  <c r="J24" i="5" s="1"/>
  <c r="K24" i="5" s="1"/>
  <c r="L24" i="5"/>
  <c r="M24" i="5"/>
  <c r="N24" i="5" s="1"/>
  <c r="O24" i="5" s="1"/>
  <c r="P24" i="5"/>
  <c r="Q24" i="5"/>
  <c r="R24" i="5" s="1"/>
  <c r="S24" i="5" s="1"/>
  <c r="T24" i="5"/>
  <c r="U24" i="5"/>
  <c r="V24" i="5" s="1"/>
  <c r="W24" i="5" s="1"/>
  <c r="X24" i="5"/>
  <c r="Y24" i="5"/>
  <c r="Z24" i="5" s="1"/>
  <c r="AA24" i="5" s="1"/>
  <c r="AB24" i="5"/>
  <c r="AC24" i="5"/>
  <c r="AD24" i="5" s="1"/>
  <c r="AE24" i="5" s="1"/>
  <c r="AF24" i="5"/>
  <c r="AG24" i="5"/>
  <c r="AH24" i="5" s="1"/>
  <c r="AI24" i="5" s="1"/>
  <c r="AJ24" i="5"/>
  <c r="AK24" i="5"/>
  <c r="AL24" i="5"/>
  <c r="AM24" i="5" s="1"/>
  <c r="AN24" i="5"/>
  <c r="AO24" i="5"/>
  <c r="AP24" i="5" s="1"/>
  <c r="AQ24" i="5" s="1"/>
  <c r="AR24" i="5"/>
  <c r="AS24" i="5"/>
  <c r="AT24" i="5"/>
  <c r="AU24" i="5" s="1"/>
  <c r="H25" i="5"/>
  <c r="I25" i="5"/>
  <c r="J25" i="5" s="1"/>
  <c r="K25" i="5" s="1"/>
  <c r="L25" i="5"/>
  <c r="M25" i="5"/>
  <c r="N25" i="5" s="1"/>
  <c r="O25" i="5" s="1"/>
  <c r="P25" i="5"/>
  <c r="Q25" i="5"/>
  <c r="R25" i="5" s="1"/>
  <c r="S25" i="5" s="1"/>
  <c r="T25" i="5"/>
  <c r="U25" i="5"/>
  <c r="V25" i="5" s="1"/>
  <c r="W25" i="5" s="1"/>
  <c r="X25" i="5"/>
  <c r="Y25" i="5"/>
  <c r="Z25" i="5" s="1"/>
  <c r="AA25" i="5" s="1"/>
  <c r="AB25" i="5"/>
  <c r="AC25" i="5"/>
  <c r="AD25" i="5" s="1"/>
  <c r="AE25" i="5" s="1"/>
  <c r="AF25" i="5"/>
  <c r="AG25" i="5"/>
  <c r="AH25" i="5" s="1"/>
  <c r="AI25" i="5" s="1"/>
  <c r="AJ25" i="5"/>
  <c r="AK25" i="5"/>
  <c r="AL25" i="5"/>
  <c r="AM25" i="5" s="1"/>
  <c r="AN25" i="5"/>
  <c r="AO25" i="5"/>
  <c r="AP25" i="5" s="1"/>
  <c r="AQ25" i="5" s="1"/>
  <c r="AR25" i="5"/>
  <c r="AS25" i="5"/>
  <c r="AT25" i="5" s="1"/>
  <c r="AU25" i="5" s="1"/>
  <c r="H26" i="5"/>
  <c r="I26" i="5"/>
  <c r="J26" i="5" s="1"/>
  <c r="K26" i="5" s="1"/>
  <c r="L26" i="5"/>
  <c r="M26" i="5"/>
  <c r="N26" i="5"/>
  <c r="O26" i="5" s="1"/>
  <c r="P26" i="5"/>
  <c r="Q26" i="5"/>
  <c r="R26" i="5" s="1"/>
  <c r="S26" i="5" s="1"/>
  <c r="T26" i="5"/>
  <c r="U26" i="5"/>
  <c r="V26" i="5"/>
  <c r="W26" i="5" s="1"/>
  <c r="X26" i="5"/>
  <c r="Y26" i="5"/>
  <c r="Z26" i="5" s="1"/>
  <c r="AA26" i="5" s="1"/>
  <c r="AB26" i="5"/>
  <c r="AC26" i="5"/>
  <c r="AD26" i="5" s="1"/>
  <c r="AE26" i="5" s="1"/>
  <c r="AF26" i="5"/>
  <c r="AG26" i="5"/>
  <c r="AH26" i="5" s="1"/>
  <c r="AI26" i="5" s="1"/>
  <c r="AJ26" i="5"/>
  <c r="AK26" i="5"/>
  <c r="AL26" i="5" s="1"/>
  <c r="AM26" i="5" s="1"/>
  <c r="AN26" i="5"/>
  <c r="AO26" i="5"/>
  <c r="AP26" i="5" s="1"/>
  <c r="AQ26" i="5" s="1"/>
  <c r="AR26" i="5"/>
  <c r="AS26" i="5"/>
  <c r="AT26" i="5" s="1"/>
  <c r="AU26" i="5" s="1"/>
  <c r="H27" i="5"/>
  <c r="I27" i="5"/>
  <c r="J27" i="5" s="1"/>
  <c r="K27" i="5" s="1"/>
  <c r="L27" i="5"/>
  <c r="M27" i="5"/>
  <c r="N27" i="5" s="1"/>
  <c r="O27" i="5" s="1"/>
  <c r="P27" i="5"/>
  <c r="Q27" i="5"/>
  <c r="R27" i="5" s="1"/>
  <c r="S27" i="5" s="1"/>
  <c r="T27" i="5"/>
  <c r="U27" i="5"/>
  <c r="V27" i="5"/>
  <c r="W27" i="5" s="1"/>
  <c r="X27" i="5"/>
  <c r="Y27" i="5"/>
  <c r="Z27" i="5" s="1"/>
  <c r="AA27" i="5" s="1"/>
  <c r="AB27" i="5"/>
  <c r="AC27" i="5"/>
  <c r="AD27" i="5" s="1"/>
  <c r="AE27" i="5" s="1"/>
  <c r="AF27" i="5"/>
  <c r="AG27" i="5"/>
  <c r="AH27" i="5" s="1"/>
  <c r="AI27" i="5" s="1"/>
  <c r="AJ27" i="5"/>
  <c r="AK27" i="5"/>
  <c r="AL27" i="5"/>
  <c r="AM27" i="5" s="1"/>
  <c r="AN27" i="5"/>
  <c r="AO27" i="5"/>
  <c r="AP27" i="5" s="1"/>
  <c r="AQ27" i="5" s="1"/>
  <c r="AR27" i="5"/>
  <c r="AS27" i="5"/>
  <c r="AT27" i="5" s="1"/>
  <c r="AU27" i="5" s="1"/>
  <c r="H28" i="5"/>
  <c r="I28" i="5"/>
  <c r="J28" i="5" s="1"/>
  <c r="K28" i="5" s="1"/>
  <c r="L28" i="5"/>
  <c r="M28" i="5"/>
  <c r="N28" i="5"/>
  <c r="O28" i="5" s="1"/>
  <c r="P28" i="5"/>
  <c r="Q28" i="5"/>
  <c r="R28" i="5" s="1"/>
  <c r="S28" i="5" s="1"/>
  <c r="T28" i="5"/>
  <c r="U28" i="5"/>
  <c r="V28" i="5" s="1"/>
  <c r="W28" i="5" s="1"/>
  <c r="X28" i="5"/>
  <c r="Y28" i="5"/>
  <c r="Z28" i="5" s="1"/>
  <c r="AA28" i="5" s="1"/>
  <c r="AB28" i="5"/>
  <c r="AC28" i="5"/>
  <c r="AD28" i="5"/>
  <c r="AE28" i="5" s="1"/>
  <c r="AF28" i="5"/>
  <c r="AG28" i="5"/>
  <c r="AH28" i="5" s="1"/>
  <c r="AI28" i="5" s="1"/>
  <c r="AJ28" i="5"/>
  <c r="AK28" i="5"/>
  <c r="AL28" i="5" s="1"/>
  <c r="AM28" i="5" s="1"/>
  <c r="AN28" i="5"/>
  <c r="AO28" i="5"/>
  <c r="AP28" i="5" s="1"/>
  <c r="AQ28" i="5" s="1"/>
  <c r="AR28" i="5"/>
  <c r="AS28" i="5"/>
  <c r="AT28" i="5"/>
  <c r="AU28" i="5" s="1"/>
  <c r="H29" i="5"/>
  <c r="I29" i="5"/>
  <c r="J29" i="5" s="1"/>
  <c r="K29" i="5" s="1"/>
  <c r="L29" i="5"/>
  <c r="M29" i="5"/>
  <c r="N29" i="5" s="1"/>
  <c r="O29" i="5" s="1"/>
  <c r="P29" i="5"/>
  <c r="Q29" i="5"/>
  <c r="R29" i="5" s="1"/>
  <c r="S29" i="5" s="1"/>
  <c r="T29" i="5"/>
  <c r="U29" i="5"/>
  <c r="V29" i="5" s="1"/>
  <c r="W29" i="5" s="1"/>
  <c r="X29" i="5"/>
  <c r="Y29" i="5"/>
  <c r="Z29" i="5" s="1"/>
  <c r="AA29" i="5" s="1"/>
  <c r="AB29" i="5"/>
  <c r="AC29" i="5"/>
  <c r="AD29" i="5"/>
  <c r="AE29" i="5" s="1"/>
  <c r="AF29" i="5"/>
  <c r="AG29" i="5"/>
  <c r="AH29" i="5" s="1"/>
  <c r="AI29" i="5" s="1"/>
  <c r="AJ29" i="5"/>
  <c r="AK29" i="5"/>
  <c r="AL29" i="5"/>
  <c r="AM29" i="5" s="1"/>
  <c r="AN29" i="5"/>
  <c r="AO29" i="5"/>
  <c r="AP29" i="5" s="1"/>
  <c r="AQ29" i="5" s="1"/>
  <c r="AR29" i="5"/>
  <c r="AS29" i="5"/>
  <c r="AT29" i="5" s="1"/>
  <c r="AU29" i="5" s="1"/>
  <c r="H30" i="5"/>
  <c r="I30" i="5"/>
  <c r="J30" i="5" s="1"/>
  <c r="K30" i="5" s="1"/>
  <c r="L30" i="5"/>
  <c r="M30" i="5"/>
  <c r="N30" i="5"/>
  <c r="O30" i="5" s="1"/>
  <c r="P30" i="5"/>
  <c r="Q30" i="5"/>
  <c r="R30" i="5" s="1"/>
  <c r="S30" i="5" s="1"/>
  <c r="T30" i="5"/>
  <c r="U30" i="5"/>
  <c r="V30" i="5" s="1"/>
  <c r="W30" i="5" s="1"/>
  <c r="X30" i="5"/>
  <c r="Y30" i="5"/>
  <c r="Z30" i="5" s="1"/>
  <c r="AA30" i="5" s="1"/>
  <c r="AB30" i="5"/>
  <c r="AC30" i="5"/>
  <c r="AD30" i="5" s="1"/>
  <c r="AE30" i="5" s="1"/>
  <c r="AF30" i="5"/>
  <c r="AG30" i="5"/>
  <c r="AH30" i="5" s="1"/>
  <c r="AI30" i="5" s="1"/>
  <c r="AJ30" i="5"/>
  <c r="AK30" i="5"/>
  <c r="AL30" i="5" s="1"/>
  <c r="AM30" i="5" s="1"/>
  <c r="AN30" i="5"/>
  <c r="AO30" i="5"/>
  <c r="AP30" i="5" s="1"/>
  <c r="AQ30" i="5" s="1"/>
  <c r="AR30" i="5"/>
  <c r="AS30" i="5"/>
  <c r="AT30" i="5"/>
  <c r="AU30" i="5" s="1"/>
  <c r="H31" i="5"/>
  <c r="I31" i="5"/>
  <c r="J31" i="5" s="1"/>
  <c r="K31" i="5" s="1"/>
  <c r="L31" i="5"/>
  <c r="M31" i="5"/>
  <c r="N31" i="5"/>
  <c r="O31" i="5" s="1"/>
  <c r="P31" i="5"/>
  <c r="Q31" i="5"/>
  <c r="R31" i="5" s="1"/>
  <c r="S31" i="5" s="1"/>
  <c r="T31" i="5"/>
  <c r="U31" i="5"/>
  <c r="V31" i="5"/>
  <c r="W31" i="5" s="1"/>
  <c r="X31" i="5"/>
  <c r="Y31" i="5"/>
  <c r="Z31" i="5" s="1"/>
  <c r="AA31" i="5" s="1"/>
  <c r="AB31" i="5"/>
  <c r="AC31" i="5"/>
  <c r="AD31" i="5" s="1"/>
  <c r="AE31" i="5" s="1"/>
  <c r="AF31" i="5"/>
  <c r="AG31" i="5"/>
  <c r="AH31" i="5" s="1"/>
  <c r="AI31" i="5" s="1"/>
  <c r="AJ31" i="5"/>
  <c r="AK31" i="5"/>
  <c r="AL31" i="5" s="1"/>
  <c r="AM31" i="5" s="1"/>
  <c r="AN31" i="5"/>
  <c r="AO31" i="5"/>
  <c r="AP31" i="5" s="1"/>
  <c r="AQ31" i="5" s="1"/>
  <c r="AR31" i="5"/>
  <c r="AS31" i="5"/>
  <c r="AT31" i="5" s="1"/>
  <c r="AU31" i="5" s="1"/>
  <c r="H32" i="5"/>
  <c r="I32" i="5"/>
  <c r="J32" i="5" s="1"/>
  <c r="K32" i="5" s="1"/>
  <c r="L32" i="5"/>
  <c r="M32" i="5"/>
  <c r="N32" i="5" s="1"/>
  <c r="O32" i="5" s="1"/>
  <c r="P32" i="5"/>
  <c r="Q32" i="5"/>
  <c r="R32" i="5" s="1"/>
  <c r="S32" i="5" s="1"/>
  <c r="T32" i="5"/>
  <c r="U32" i="5"/>
  <c r="V32" i="5" s="1"/>
  <c r="W32" i="5" s="1"/>
  <c r="X32" i="5"/>
  <c r="Y32" i="5"/>
  <c r="Z32" i="5" s="1"/>
  <c r="AA32" i="5" s="1"/>
  <c r="AB32" i="5"/>
  <c r="AC32" i="5"/>
  <c r="AD32" i="5" s="1"/>
  <c r="AE32" i="5" s="1"/>
  <c r="AF32" i="5"/>
  <c r="AG32" i="5"/>
  <c r="AH32" i="5" s="1"/>
  <c r="AI32" i="5" s="1"/>
  <c r="AJ32" i="5"/>
  <c r="AK32" i="5"/>
  <c r="AL32" i="5"/>
  <c r="AM32" i="5" s="1"/>
  <c r="AN32" i="5"/>
  <c r="AO32" i="5"/>
  <c r="AP32" i="5" s="1"/>
  <c r="AQ32" i="5" s="1"/>
  <c r="AR32" i="5"/>
  <c r="AS32" i="5"/>
  <c r="AT32" i="5"/>
  <c r="AU32" i="5" s="1"/>
  <c r="H33" i="5"/>
  <c r="I33" i="5"/>
  <c r="J33" i="5" s="1"/>
  <c r="K33" i="5" s="1"/>
  <c r="L33" i="5"/>
  <c r="M33" i="5"/>
  <c r="N33" i="5" s="1"/>
  <c r="O33" i="5" s="1"/>
  <c r="P33" i="5"/>
  <c r="Q33" i="5"/>
  <c r="R33" i="5" s="1"/>
  <c r="S33" i="5" s="1"/>
  <c r="T33" i="5"/>
  <c r="U33" i="5"/>
  <c r="V33" i="5"/>
  <c r="W33" i="5" s="1"/>
  <c r="X33" i="5"/>
  <c r="Y33" i="5"/>
  <c r="Z33" i="5" s="1"/>
  <c r="AA33" i="5" s="1"/>
  <c r="AB33" i="5"/>
  <c r="AC33" i="5"/>
  <c r="AD33" i="5"/>
  <c r="AE33" i="5" s="1"/>
  <c r="AF33" i="5"/>
  <c r="AG33" i="5"/>
  <c r="AH33" i="5" s="1"/>
  <c r="AI33" i="5" s="1"/>
  <c r="AJ33" i="5"/>
  <c r="AK33" i="5"/>
  <c r="AL33" i="5"/>
  <c r="AM33" i="5" s="1"/>
  <c r="AN33" i="5"/>
  <c r="AO33" i="5"/>
  <c r="AP33" i="5" s="1"/>
  <c r="AQ33" i="5" s="1"/>
  <c r="AR33" i="5"/>
  <c r="AS33" i="5"/>
  <c r="AT33" i="5" s="1"/>
  <c r="AU33" i="5" s="1"/>
  <c r="AS23" i="5"/>
  <c r="AR23" i="5"/>
  <c r="AT23" i="5"/>
  <c r="AU23" i="5" s="1"/>
  <c r="AO23" i="5"/>
  <c r="AP23" i="5" s="1"/>
  <c r="AQ23" i="5" s="1"/>
  <c r="AN23" i="5"/>
  <c r="AK23" i="5"/>
  <c r="AL23" i="5" s="1"/>
  <c r="AM23" i="5" s="1"/>
  <c r="AJ23" i="5"/>
  <c r="AG23" i="5"/>
  <c r="AH23" i="5" s="1"/>
  <c r="AI23" i="5" s="1"/>
  <c r="AF23" i="5"/>
  <c r="AC23" i="5"/>
  <c r="AD23" i="5" s="1"/>
  <c r="AE23" i="5" s="1"/>
  <c r="AB23" i="5"/>
  <c r="Y23" i="5"/>
  <c r="Z23" i="5" s="1"/>
  <c r="AA23" i="5" s="1"/>
  <c r="X23" i="5"/>
  <c r="U23" i="5"/>
  <c r="V23" i="5" s="1"/>
  <c r="W23" i="5" s="1"/>
  <c r="T23" i="5"/>
  <c r="Q23" i="5"/>
  <c r="R23" i="5" s="1"/>
  <c r="S23" i="5" s="1"/>
  <c r="P23" i="5"/>
  <c r="M23" i="5"/>
  <c r="N23" i="5" s="1"/>
  <c r="O23" i="5" s="1"/>
  <c r="L23" i="5"/>
  <c r="J23" i="5"/>
  <c r="K23" i="5" s="1"/>
  <c r="AU18" i="5"/>
  <c r="AQ18" i="5"/>
  <c r="AU17" i="5"/>
  <c r="AQ17" i="5"/>
  <c r="AU16" i="5"/>
  <c r="AQ16" i="5"/>
  <c r="AU15" i="5"/>
  <c r="AQ15" i="5"/>
  <c r="AU14" i="5"/>
  <c r="AQ14" i="5"/>
  <c r="AU13" i="5"/>
  <c r="AQ13" i="5"/>
  <c r="AU12" i="5"/>
  <c r="AQ12" i="5"/>
  <c r="AU11" i="5"/>
  <c r="AQ11" i="5"/>
  <c r="AU10" i="5"/>
  <c r="AQ10" i="5"/>
  <c r="AU9" i="5"/>
  <c r="AQ9" i="5"/>
  <c r="AU8" i="5"/>
  <c r="AQ8" i="5"/>
  <c r="AM18" i="5"/>
  <c r="AI18" i="5"/>
  <c r="AM17" i="5"/>
  <c r="AI17" i="5"/>
  <c r="AM16" i="5"/>
  <c r="AI16" i="5"/>
  <c r="AM15" i="5"/>
  <c r="AI15" i="5"/>
  <c r="AM14" i="5"/>
  <c r="AI14" i="5"/>
  <c r="AM13" i="5"/>
  <c r="AI13" i="5"/>
  <c r="AM12" i="5"/>
  <c r="AI12" i="5"/>
  <c r="AM11" i="5"/>
  <c r="AI11" i="5"/>
  <c r="AM10" i="5"/>
  <c r="AI10" i="5"/>
  <c r="AM9" i="5"/>
  <c r="AI9" i="5"/>
  <c r="AM8" i="5"/>
  <c r="AI8" i="5"/>
  <c r="AE18" i="5"/>
  <c r="AA18" i="5"/>
  <c r="AE17" i="5"/>
  <c r="AA17" i="5"/>
  <c r="AE16" i="5"/>
  <c r="AA16" i="5"/>
  <c r="AE15" i="5"/>
  <c r="AA15" i="5"/>
  <c r="AE14" i="5"/>
  <c r="AA14" i="5"/>
  <c r="AE13" i="5"/>
  <c r="AA13" i="5"/>
  <c r="AE12" i="5"/>
  <c r="AA12" i="5"/>
  <c r="AE11" i="5"/>
  <c r="AA11" i="5"/>
  <c r="AE10" i="5"/>
  <c r="AA10" i="5"/>
  <c r="AE9" i="5"/>
  <c r="AA9" i="5"/>
  <c r="AE8" i="5"/>
  <c r="AA8" i="5"/>
  <c r="W18" i="5"/>
  <c r="S18" i="5"/>
  <c r="W17" i="5"/>
  <c r="S17" i="5"/>
  <c r="W16" i="5"/>
  <c r="S16" i="5"/>
  <c r="W15" i="5"/>
  <c r="S15" i="5"/>
  <c r="W14" i="5"/>
  <c r="S14" i="5"/>
  <c r="W13" i="5"/>
  <c r="S13" i="5"/>
  <c r="W12" i="5"/>
  <c r="S12" i="5"/>
  <c r="W11" i="5"/>
  <c r="S11" i="5"/>
  <c r="W10" i="5"/>
  <c r="S10" i="5"/>
  <c r="W9" i="5"/>
  <c r="S9" i="5"/>
  <c r="W8" i="5"/>
  <c r="S8" i="5"/>
  <c r="O18" i="5"/>
  <c r="O17" i="5"/>
  <c r="O16" i="5"/>
  <c r="O15" i="5"/>
  <c r="O14" i="5"/>
  <c r="O13" i="5"/>
  <c r="O12" i="5"/>
  <c r="O11" i="5"/>
  <c r="O10" i="5"/>
  <c r="O9" i="5"/>
  <c r="O8" i="5"/>
  <c r="K9" i="5"/>
  <c r="K10" i="5"/>
  <c r="K11" i="5"/>
  <c r="K12" i="5"/>
  <c r="K13" i="5"/>
  <c r="K14" i="5"/>
  <c r="K15" i="5"/>
  <c r="K16" i="5"/>
  <c r="K17" i="5"/>
  <c r="K18" i="5"/>
  <c r="K8" i="5"/>
  <c r="E8" i="5"/>
  <c r="E9" i="5"/>
  <c r="E10" i="5"/>
  <c r="E11" i="5"/>
  <c r="E12" i="5"/>
  <c r="E13" i="5"/>
  <c r="E14" i="5"/>
  <c r="E15" i="5"/>
  <c r="E7" i="5"/>
  <c r="X11" i="3"/>
  <c r="X10" i="3"/>
  <c r="X9" i="3"/>
  <c r="X8" i="3"/>
  <c r="X7" i="3"/>
  <c r="X6" i="3"/>
  <c r="X5" i="3"/>
  <c r="X4" i="3"/>
  <c r="X3" i="3"/>
  <c r="X2" i="3"/>
  <c r="Q3" i="3"/>
  <c r="Q4" i="3"/>
  <c r="Q5" i="3"/>
  <c r="Q6" i="3"/>
  <c r="Q7" i="3"/>
  <c r="Q8" i="3"/>
  <c r="Q9" i="3"/>
  <c r="Q10" i="3"/>
  <c r="Q11" i="3"/>
  <c r="Q2" i="3"/>
  <c r="H3" i="3"/>
  <c r="H4" i="3"/>
  <c r="H5" i="3"/>
  <c r="H6" i="3"/>
  <c r="H7" i="3"/>
  <c r="H8" i="3"/>
  <c r="H9" i="3"/>
  <c r="H10" i="3"/>
  <c r="H2" i="3"/>
  <c r="E17" i="11" l="1"/>
  <c r="D17" i="11"/>
  <c r="Y30" i="9"/>
  <c r="Z30" i="9" s="1"/>
  <c r="AA30" i="9" s="1"/>
  <c r="E17" i="9"/>
  <c r="M29" i="9" s="1"/>
  <c r="N29" i="9" s="1"/>
  <c r="O29" i="9" s="1"/>
  <c r="AC28" i="9"/>
  <c r="AD28" i="9" s="1"/>
  <c r="AE28" i="9" s="1"/>
  <c r="AG33" i="9"/>
  <c r="AH33" i="9" s="1"/>
  <c r="AI33" i="9" s="1"/>
  <c r="AO26" i="9"/>
  <c r="AP26" i="9" s="1"/>
  <c r="AQ26" i="9" s="1"/>
  <c r="AK32" i="9"/>
  <c r="AL32" i="9" s="1"/>
  <c r="AM32" i="9" s="1"/>
  <c r="AK26" i="9"/>
  <c r="AL26" i="9" s="1"/>
  <c r="AM26" i="9" s="1"/>
  <c r="AO31" i="9"/>
  <c r="AP31" i="9" s="1"/>
  <c r="AQ31" i="9" s="1"/>
  <c r="AO30" i="9"/>
  <c r="AP30" i="9" s="1"/>
  <c r="AQ30" i="9" s="1"/>
  <c r="AO27" i="9"/>
  <c r="AP27" i="9" s="1"/>
  <c r="AQ27" i="9" s="1"/>
  <c r="AC23" i="9"/>
  <c r="AD23" i="9" s="1"/>
  <c r="AE23" i="9" s="1"/>
  <c r="Y28" i="9"/>
  <c r="Z28" i="9" s="1"/>
  <c r="AA28" i="9" s="1"/>
  <c r="AS32" i="9"/>
  <c r="AT32" i="9" s="1"/>
  <c r="AU32" i="9" s="1"/>
  <c r="AO32" i="9"/>
  <c r="AP32" i="9" s="1"/>
  <c r="AQ32" i="9" s="1"/>
  <c r="I26" i="9"/>
  <c r="J26" i="9" s="1"/>
  <c r="K26" i="9" s="1"/>
  <c r="AS31" i="9"/>
  <c r="AT31" i="9" s="1"/>
  <c r="AU31" i="9" s="1"/>
  <c r="Q25" i="9"/>
  <c r="R25" i="9" s="1"/>
  <c r="S25" i="9" s="1"/>
  <c r="I31" i="9"/>
  <c r="J31" i="9" s="1"/>
  <c r="K31" i="9" s="1"/>
  <c r="Y24" i="9"/>
  <c r="Z24" i="9" s="1"/>
  <c r="AA24" i="9" s="1"/>
  <c r="AK31" i="9"/>
  <c r="AL31" i="9" s="1"/>
  <c r="AM31" i="9" s="1"/>
  <c r="AS33" i="9"/>
  <c r="AT33" i="9" s="1"/>
  <c r="AU33" i="9" s="1"/>
  <c r="I27" i="9"/>
  <c r="J27" i="9" s="1"/>
  <c r="K27" i="9" s="1"/>
  <c r="AO33" i="9"/>
  <c r="AP33" i="9" s="1"/>
  <c r="AQ33" i="9" s="1"/>
  <c r="AK27" i="9"/>
  <c r="AL27" i="9" s="1"/>
  <c r="AM27" i="9" s="1"/>
  <c r="M32" i="9"/>
  <c r="N32" i="9" s="1"/>
  <c r="O32" i="9" s="1"/>
  <c r="M26" i="9"/>
  <c r="N26" i="9" s="1"/>
  <c r="O26" i="9" s="1"/>
  <c r="I32" i="9"/>
  <c r="J32" i="9" s="1"/>
  <c r="K32" i="9" s="1"/>
  <c r="M31" i="9"/>
  <c r="N31" i="9" s="1"/>
  <c r="O31" i="9" s="1"/>
  <c r="AC24" i="9"/>
  <c r="AD24" i="9" s="1"/>
  <c r="AE24" i="9" s="1"/>
  <c r="Q30" i="9"/>
  <c r="R30" i="9" s="1"/>
  <c r="S30" i="9" s="1"/>
  <c r="AK23" i="9"/>
  <c r="AL23" i="9" s="1"/>
  <c r="AM23" i="9" s="1"/>
  <c r="AS30" i="9"/>
  <c r="AT30" i="9" s="1"/>
  <c r="AU30" i="9" s="1"/>
  <c r="U30" i="9"/>
  <c r="V30" i="9" s="1"/>
  <c r="W30" i="9" s="1"/>
  <c r="AO23" i="9"/>
  <c r="AP23" i="9" s="1"/>
  <c r="AQ23" i="9" s="1"/>
  <c r="AC29" i="9"/>
  <c r="AD29" i="9" s="1"/>
  <c r="AE29" i="9" s="1"/>
  <c r="Q26" i="9"/>
  <c r="R26" i="9" s="1"/>
  <c r="S26" i="9" s="1"/>
  <c r="AG26" i="9"/>
  <c r="AH26" i="9" s="1"/>
  <c r="AI26" i="9" s="1"/>
  <c r="Y26" i="9"/>
  <c r="Z26" i="9" s="1"/>
  <c r="AA26" i="9" s="1"/>
  <c r="M30" i="9"/>
  <c r="N30" i="9" s="1"/>
  <c r="O30" i="9" s="1"/>
  <c r="AG23" i="9"/>
  <c r="AH23" i="9" s="1"/>
  <c r="AI23" i="9" s="1"/>
  <c r="Y29" i="9"/>
  <c r="Z29" i="9" s="1"/>
  <c r="AA29" i="9" s="1"/>
  <c r="Q33" i="9"/>
  <c r="R33" i="9" s="1"/>
  <c r="S33" i="9" s="1"/>
  <c r="Q32" i="9"/>
  <c r="R32" i="9" s="1"/>
  <c r="S32" i="9" s="1"/>
  <c r="AO24" i="9"/>
  <c r="AP24" i="9" s="1"/>
  <c r="AQ24" i="9" s="1"/>
  <c r="AC30" i="9"/>
  <c r="AD30" i="9" s="1"/>
  <c r="AE30" i="9" s="1"/>
  <c r="AK24" i="9"/>
  <c r="AL24" i="9" s="1"/>
  <c r="AM24" i="9" s="1"/>
  <c r="AS23" i="9"/>
  <c r="AT23" i="9" s="1"/>
  <c r="AU23" i="9" s="1"/>
  <c r="AG29" i="9"/>
  <c r="AH29" i="9" s="1"/>
  <c r="AI29" i="9" s="1"/>
  <c r="I23" i="9"/>
  <c r="J23" i="9" s="1"/>
  <c r="K23" i="9" s="1"/>
  <c r="AO28" i="9"/>
  <c r="AP28" i="9" s="1"/>
  <c r="AQ28" i="9" s="1"/>
  <c r="AC31" i="9"/>
  <c r="AD31" i="9" s="1"/>
  <c r="AE31" i="9" s="1"/>
  <c r="AS24" i="9"/>
  <c r="AT24" i="9" s="1"/>
  <c r="AU24" i="9" s="1"/>
  <c r="Y31" i="9"/>
  <c r="Z31" i="9" s="1"/>
  <c r="AA31" i="9" s="1"/>
  <c r="I24" i="9"/>
  <c r="J24" i="9" s="1"/>
  <c r="K24" i="9" s="1"/>
  <c r="AO29" i="9"/>
  <c r="AP29" i="9" s="1"/>
  <c r="AQ29" i="9" s="1"/>
  <c r="Q23" i="9"/>
  <c r="R23" i="9" s="1"/>
  <c r="S23" i="9" s="1"/>
  <c r="AK29" i="9"/>
  <c r="AL29" i="9" s="1"/>
  <c r="AM29" i="9" s="1"/>
  <c r="M23" i="9"/>
  <c r="N23" i="9" s="1"/>
  <c r="O23" i="9" s="1"/>
  <c r="AS28" i="9"/>
  <c r="AT28" i="9" s="1"/>
  <c r="AU28" i="9" s="1"/>
  <c r="AS27" i="9"/>
  <c r="AT27" i="9" s="1"/>
  <c r="AU27" i="9" s="1"/>
  <c r="I28" i="9"/>
  <c r="J28" i="9" s="1"/>
  <c r="K28" i="9" s="1"/>
  <c r="AG31" i="9"/>
  <c r="AH31" i="9" s="1"/>
  <c r="AI31" i="9" s="1"/>
  <c r="AK28" i="9"/>
  <c r="AL28" i="9" s="1"/>
  <c r="AM28" i="9" s="1"/>
  <c r="I30" i="9"/>
  <c r="J30" i="9" s="1"/>
  <c r="K30" i="9" s="1"/>
  <c r="AK30" i="9"/>
  <c r="AL30" i="9" s="1"/>
  <c r="AM30" i="9" s="1"/>
  <c r="M24" i="9"/>
  <c r="N24" i="9" s="1"/>
  <c r="O24" i="9" s="1"/>
  <c r="AG30" i="9"/>
  <c r="AH30" i="9" s="1"/>
  <c r="AI30" i="9" s="1"/>
  <c r="U23" i="9"/>
  <c r="V23" i="9" s="1"/>
  <c r="W23" i="9" s="1"/>
  <c r="I29" i="9"/>
  <c r="J29" i="9" s="1"/>
  <c r="K29" i="9" s="1"/>
  <c r="Y32" i="9"/>
  <c r="Z32" i="9" s="1"/>
  <c r="AA32" i="9" s="1"/>
  <c r="Q28" i="9"/>
  <c r="R28" i="9" s="1"/>
  <c r="S28" i="9" s="1"/>
  <c r="AG28" i="9"/>
  <c r="AH28" i="9" s="1"/>
  <c r="AI28" i="9" s="1"/>
  <c r="M28" i="9"/>
  <c r="N28" i="9" s="1"/>
  <c r="O28" i="9" s="1"/>
  <c r="Y33" i="9"/>
  <c r="Z33" i="9" s="1"/>
  <c r="AA33" i="9" s="1"/>
  <c r="U27" i="9"/>
  <c r="V27" i="9" s="1"/>
  <c r="W27" i="9" s="1"/>
  <c r="Q24" i="9"/>
  <c r="R24" i="9" s="1"/>
  <c r="S24" i="9" s="1"/>
  <c r="Q27" i="9"/>
  <c r="R27" i="9" s="1"/>
  <c r="S27" i="9" s="1"/>
  <c r="AK25" i="9"/>
  <c r="AL25" i="9" s="1"/>
  <c r="AM25" i="9" s="1"/>
  <c r="N2" i="3"/>
  <c r="U3" i="3"/>
  <c r="V3" i="3" s="1"/>
  <c r="U4" i="3"/>
  <c r="V4" i="3" s="1"/>
  <c r="U5" i="3"/>
  <c r="V5" i="3" s="1"/>
  <c r="U6" i="3"/>
  <c r="V6" i="3" s="1"/>
  <c r="U7" i="3"/>
  <c r="V7" i="3" s="1"/>
  <c r="U8" i="3"/>
  <c r="V8" i="3" s="1"/>
  <c r="U9" i="3"/>
  <c r="V9" i="3" s="1"/>
  <c r="U10" i="3"/>
  <c r="V10" i="3" s="1"/>
  <c r="U11" i="3"/>
  <c r="V11" i="3" s="1"/>
  <c r="U2" i="3"/>
  <c r="V2" i="3" s="1"/>
  <c r="N3" i="3"/>
  <c r="N4" i="3"/>
  <c r="N5" i="3"/>
  <c r="N6" i="3"/>
  <c r="N7" i="3"/>
  <c r="N8" i="3"/>
  <c r="N9" i="3"/>
  <c r="N10" i="3"/>
  <c r="N11" i="3"/>
  <c r="I2" i="3"/>
  <c r="I10" i="3"/>
  <c r="I9" i="3"/>
  <c r="I8" i="3"/>
  <c r="I7" i="3"/>
  <c r="I6" i="3"/>
  <c r="I5" i="3"/>
  <c r="I4" i="3"/>
  <c r="I3" i="3"/>
  <c r="Y17" i="12" l="1"/>
  <c r="Z17" i="12" s="1"/>
  <c r="AA17" i="12" s="1"/>
  <c r="AC17" i="12"/>
  <c r="AD17" i="12" s="1"/>
  <c r="AE17" i="12" s="1"/>
  <c r="M17" i="12"/>
  <c r="N17" i="12" s="1"/>
  <c r="O17" i="12" s="1"/>
  <c r="Q17" i="12"/>
  <c r="R17" i="12" s="1"/>
  <c r="S17" i="12" s="1"/>
  <c r="U17" i="12"/>
  <c r="V17" i="12" s="1"/>
  <c r="W17" i="12" s="1"/>
  <c r="AC27" i="11"/>
  <c r="AD27" i="11" s="1"/>
  <c r="AE27" i="11" s="1"/>
  <c r="Y33" i="11"/>
  <c r="Z33" i="11" s="1"/>
  <c r="AA33" i="11" s="1"/>
  <c r="AS27" i="11"/>
  <c r="AT27" i="11" s="1"/>
  <c r="AU27" i="11" s="1"/>
  <c r="AK29" i="11"/>
  <c r="AL29" i="11" s="1"/>
  <c r="AM29" i="11" s="1"/>
  <c r="AS32" i="11"/>
  <c r="AT32" i="11" s="1"/>
  <c r="AU32" i="11" s="1"/>
  <c r="M31" i="11"/>
  <c r="N31" i="11" s="1"/>
  <c r="O31" i="11" s="1"/>
  <c r="AC23" i="11"/>
  <c r="AD23" i="11" s="1"/>
  <c r="AE23" i="11" s="1"/>
  <c r="Q29" i="11"/>
  <c r="R29" i="11" s="1"/>
  <c r="S29" i="11" s="1"/>
  <c r="AK31" i="11"/>
  <c r="AL31" i="11" s="1"/>
  <c r="AM31" i="11" s="1"/>
  <c r="AG32" i="11"/>
  <c r="AH32" i="11" s="1"/>
  <c r="AI32" i="11" s="1"/>
  <c r="AK24" i="11"/>
  <c r="AL24" i="11" s="1"/>
  <c r="AM24" i="11" s="1"/>
  <c r="AK28" i="11"/>
  <c r="AL28" i="11" s="1"/>
  <c r="AM28" i="11" s="1"/>
  <c r="Y25" i="11"/>
  <c r="Z25" i="11" s="1"/>
  <c r="AA25" i="11" s="1"/>
  <c r="AS30" i="11"/>
  <c r="AT30" i="11" s="1"/>
  <c r="AU30" i="11" s="1"/>
  <c r="AS26" i="11"/>
  <c r="AT26" i="11" s="1"/>
  <c r="AU26" i="11" s="1"/>
  <c r="AG27" i="11"/>
  <c r="AH27" i="11" s="1"/>
  <c r="AI27" i="11" s="1"/>
  <c r="I26" i="11"/>
  <c r="J26" i="11" s="1"/>
  <c r="K26" i="11" s="1"/>
  <c r="AC26" i="11"/>
  <c r="AD26" i="11" s="1"/>
  <c r="AE26" i="11" s="1"/>
  <c r="AK23" i="11"/>
  <c r="AL23" i="11" s="1"/>
  <c r="AM23" i="11" s="1"/>
  <c r="AG26" i="11"/>
  <c r="AH26" i="11" s="1"/>
  <c r="AI26" i="11" s="1"/>
  <c r="AC24" i="11"/>
  <c r="AD24" i="11" s="1"/>
  <c r="AE24" i="11" s="1"/>
  <c r="Q33" i="11"/>
  <c r="R33" i="11" s="1"/>
  <c r="S33" i="11" s="1"/>
  <c r="I23" i="11"/>
  <c r="J23" i="11" s="1"/>
  <c r="K23" i="11" s="1"/>
  <c r="AK30" i="11"/>
  <c r="AL30" i="11" s="1"/>
  <c r="AM30" i="11" s="1"/>
  <c r="AO24" i="11"/>
  <c r="AP24" i="11" s="1"/>
  <c r="AQ24" i="11" s="1"/>
  <c r="U31" i="11"/>
  <c r="V31" i="11" s="1"/>
  <c r="W31" i="11" s="1"/>
  <c r="AG25" i="11"/>
  <c r="AH25" i="11" s="1"/>
  <c r="AI25" i="11" s="1"/>
  <c r="M24" i="11"/>
  <c r="N24" i="11" s="1"/>
  <c r="O24" i="11" s="1"/>
  <c r="AS33" i="11"/>
  <c r="AT33" i="11" s="1"/>
  <c r="AU33" i="11" s="1"/>
  <c r="Q31" i="11"/>
  <c r="R31" i="11" s="1"/>
  <c r="S31" i="11" s="1"/>
  <c r="I30" i="11"/>
  <c r="J30" i="11" s="1"/>
  <c r="K30" i="11" s="1"/>
  <c r="Q26" i="11"/>
  <c r="R26" i="11" s="1"/>
  <c r="S26" i="11" s="1"/>
  <c r="U32" i="11"/>
  <c r="V32" i="11" s="1"/>
  <c r="W32" i="11" s="1"/>
  <c r="Y30" i="11"/>
  <c r="Z30" i="11" s="1"/>
  <c r="AA30" i="11" s="1"/>
  <c r="M29" i="11"/>
  <c r="N29" i="11" s="1"/>
  <c r="O29" i="11" s="1"/>
  <c r="AS29" i="11"/>
  <c r="AT29" i="11" s="1"/>
  <c r="AU29" i="11" s="1"/>
  <c r="U28" i="11"/>
  <c r="V28" i="11" s="1"/>
  <c r="W28" i="11" s="1"/>
  <c r="Q27" i="11"/>
  <c r="R27" i="11" s="1"/>
  <c r="S27" i="11" s="1"/>
  <c r="Y29" i="11"/>
  <c r="Z29" i="11" s="1"/>
  <c r="AA29" i="11" s="1"/>
  <c r="AK25" i="11"/>
  <c r="AL25" i="11" s="1"/>
  <c r="AM25" i="11" s="1"/>
  <c r="Y27" i="11"/>
  <c r="Z27" i="11" s="1"/>
  <c r="AA27" i="11" s="1"/>
  <c r="AC30" i="11"/>
  <c r="AD30" i="11" s="1"/>
  <c r="AE30" i="11" s="1"/>
  <c r="AC28" i="11"/>
  <c r="AD28" i="11" s="1"/>
  <c r="AE28" i="11" s="1"/>
  <c r="I33" i="11"/>
  <c r="J33" i="11" s="1"/>
  <c r="K33" i="11" s="1"/>
  <c r="I29" i="11"/>
  <c r="J29" i="11" s="1"/>
  <c r="K29" i="11" s="1"/>
  <c r="AS25" i="11"/>
  <c r="AT25" i="11" s="1"/>
  <c r="AU25" i="11" s="1"/>
  <c r="U23" i="11"/>
  <c r="V23" i="11" s="1"/>
  <c r="W23" i="11" s="1"/>
  <c r="AO33" i="11"/>
  <c r="AP33" i="11" s="1"/>
  <c r="AQ33" i="11" s="1"/>
  <c r="Y24" i="11"/>
  <c r="Z24" i="11" s="1"/>
  <c r="AA24" i="11" s="1"/>
  <c r="AO27" i="11"/>
  <c r="AP27" i="11" s="1"/>
  <c r="AQ27" i="11" s="1"/>
  <c r="U30" i="11"/>
  <c r="V30" i="11" s="1"/>
  <c r="W30" i="11" s="1"/>
  <c r="M30" i="11"/>
  <c r="N30" i="11" s="1"/>
  <c r="O30" i="11" s="1"/>
  <c r="M28" i="11"/>
  <c r="N28" i="11" s="1"/>
  <c r="O28" i="11" s="1"/>
  <c r="M32" i="11"/>
  <c r="N32" i="11" s="1"/>
  <c r="O32" i="11" s="1"/>
  <c r="AC32" i="11"/>
  <c r="AD32" i="11" s="1"/>
  <c r="AE32" i="11" s="1"/>
  <c r="AG29" i="11"/>
  <c r="AH29" i="11" s="1"/>
  <c r="AI29" i="11" s="1"/>
  <c r="I28" i="11"/>
  <c r="J28" i="11" s="1"/>
  <c r="K28" i="11" s="1"/>
  <c r="AG28" i="11"/>
  <c r="AH28" i="11" s="1"/>
  <c r="AI28" i="11" s="1"/>
  <c r="AK27" i="11"/>
  <c r="AL27" i="11" s="1"/>
  <c r="AM27" i="11" s="1"/>
  <c r="AG31" i="11"/>
  <c r="AH31" i="11" s="1"/>
  <c r="AI31" i="11" s="1"/>
  <c r="AC29" i="11"/>
  <c r="AD29" i="11" s="1"/>
  <c r="AE29" i="11" s="1"/>
  <c r="AC31" i="11"/>
  <c r="AD31" i="11" s="1"/>
  <c r="AE31" i="11" s="1"/>
  <c r="M33" i="11"/>
  <c r="N33" i="11" s="1"/>
  <c r="O33" i="11" s="1"/>
  <c r="Q30" i="11"/>
  <c r="R30" i="11" s="1"/>
  <c r="S30" i="11" s="1"/>
  <c r="I25" i="11"/>
  <c r="J25" i="11" s="1"/>
  <c r="K25" i="11" s="1"/>
  <c r="AS24" i="11"/>
  <c r="AT24" i="11" s="1"/>
  <c r="AU24" i="11" s="1"/>
  <c r="AO31" i="11"/>
  <c r="AP31" i="11" s="1"/>
  <c r="AQ31" i="11" s="1"/>
  <c r="U27" i="11"/>
  <c r="V27" i="11" s="1"/>
  <c r="W27" i="11" s="1"/>
  <c r="Y26" i="11"/>
  <c r="Z26" i="11" s="1"/>
  <c r="AA26" i="11" s="1"/>
  <c r="Q28" i="11"/>
  <c r="R28" i="11" s="1"/>
  <c r="S28" i="11" s="1"/>
  <c r="I32" i="11"/>
  <c r="J32" i="11" s="1"/>
  <c r="K32" i="11" s="1"/>
  <c r="M23" i="11"/>
  <c r="N23" i="11" s="1"/>
  <c r="O23" i="11" s="1"/>
  <c r="AS31" i="11"/>
  <c r="AT31" i="11" s="1"/>
  <c r="AU31" i="11" s="1"/>
  <c r="Y28" i="11"/>
  <c r="Z28" i="11" s="1"/>
  <c r="AA28" i="11" s="1"/>
  <c r="AK26" i="11"/>
  <c r="AL26" i="11" s="1"/>
  <c r="AM26" i="11" s="1"/>
  <c r="I27" i="11"/>
  <c r="J27" i="11" s="1"/>
  <c r="K27" i="11" s="1"/>
  <c r="AO32" i="11"/>
  <c r="AP32" i="11" s="1"/>
  <c r="AQ32" i="11" s="1"/>
  <c r="AC33" i="11"/>
  <c r="AD33" i="11" s="1"/>
  <c r="AE33" i="11" s="1"/>
  <c r="M25" i="11"/>
  <c r="N25" i="11" s="1"/>
  <c r="O25" i="11" s="1"/>
  <c r="AG30" i="11"/>
  <c r="AH30" i="11" s="1"/>
  <c r="AI30" i="11" s="1"/>
  <c r="AS28" i="11"/>
  <c r="AT28" i="11" s="1"/>
  <c r="AU28" i="11" s="1"/>
  <c r="Y31" i="11"/>
  <c r="Z31" i="11" s="1"/>
  <c r="AA31" i="11" s="1"/>
  <c r="Q23" i="11"/>
  <c r="R23" i="11" s="1"/>
  <c r="S23" i="11" s="1"/>
  <c r="Y32" i="11"/>
  <c r="Z32" i="11" s="1"/>
  <c r="AA32" i="11" s="1"/>
  <c r="AC25" i="11"/>
  <c r="AD25" i="11" s="1"/>
  <c r="AE25" i="11" s="1"/>
  <c r="Q32" i="11"/>
  <c r="R32" i="11" s="1"/>
  <c r="S32" i="11" s="1"/>
  <c r="AK32" i="11"/>
  <c r="AL32" i="11" s="1"/>
  <c r="AM32" i="11" s="1"/>
  <c r="M27" i="11"/>
  <c r="N27" i="11" s="1"/>
  <c r="O27" i="11" s="1"/>
  <c r="Y23" i="11"/>
  <c r="Z23" i="11" s="1"/>
  <c r="AA23" i="11" s="1"/>
  <c r="AS23" i="11"/>
  <c r="AT23" i="11" s="1"/>
  <c r="AU23" i="11" s="1"/>
  <c r="U29" i="11"/>
  <c r="V29" i="11" s="1"/>
  <c r="W29" i="11" s="1"/>
  <c r="Q24" i="11"/>
  <c r="R24" i="11" s="1"/>
  <c r="S24" i="11" s="1"/>
  <c r="AO26" i="11"/>
  <c r="AP26" i="11" s="1"/>
  <c r="AQ26" i="11" s="1"/>
  <c r="AO29" i="11"/>
  <c r="AP29" i="11" s="1"/>
  <c r="AQ29" i="11" s="1"/>
  <c r="U33" i="11"/>
  <c r="V33" i="11" s="1"/>
  <c r="W33" i="11" s="1"/>
  <c r="I24" i="11"/>
  <c r="J24" i="11" s="1"/>
  <c r="K24" i="11" s="1"/>
  <c r="AO28" i="11"/>
  <c r="AP28" i="11" s="1"/>
  <c r="AQ28" i="11" s="1"/>
  <c r="AO23" i="11"/>
  <c r="AP23" i="11" s="1"/>
  <c r="AQ23" i="11" s="1"/>
  <c r="AO30" i="11"/>
  <c r="AP30" i="11" s="1"/>
  <c r="AQ30" i="11" s="1"/>
  <c r="AG23" i="11"/>
  <c r="AH23" i="11" s="1"/>
  <c r="AI23" i="11" s="1"/>
  <c r="AG33" i="11"/>
  <c r="AH33" i="11" s="1"/>
  <c r="AI33" i="11" s="1"/>
  <c r="I31" i="11"/>
  <c r="J31" i="11" s="1"/>
  <c r="K31" i="11" s="1"/>
  <c r="U24" i="11"/>
  <c r="V24" i="11" s="1"/>
  <c r="W24" i="11" s="1"/>
  <c r="M26" i="11"/>
  <c r="N26" i="11" s="1"/>
  <c r="O26" i="11" s="1"/>
  <c r="U25" i="11"/>
  <c r="V25" i="11" s="1"/>
  <c r="W25" i="11" s="1"/>
  <c r="AO25" i="11"/>
  <c r="AP25" i="11" s="1"/>
  <c r="AQ25" i="11" s="1"/>
  <c r="AG24" i="11"/>
  <c r="AH24" i="11" s="1"/>
  <c r="AI24" i="11" s="1"/>
  <c r="AK33" i="11"/>
  <c r="AL33" i="11" s="1"/>
  <c r="AM33" i="11" s="1"/>
  <c r="Q25" i="11"/>
  <c r="R25" i="11" s="1"/>
  <c r="S25" i="11" s="1"/>
  <c r="U26" i="11"/>
  <c r="V26" i="11" s="1"/>
  <c r="W26" i="11" s="1"/>
  <c r="AO25" i="9"/>
  <c r="AP25" i="9" s="1"/>
  <c r="AQ25" i="9" s="1"/>
  <c r="AG27" i="9"/>
  <c r="AH27" i="9" s="1"/>
  <c r="AI27" i="9" s="1"/>
  <c r="AC32" i="9"/>
  <c r="AD32" i="9" s="1"/>
  <c r="AE32" i="9" s="1"/>
  <c r="AK33" i="9"/>
  <c r="AL33" i="9" s="1"/>
  <c r="AM33" i="9" s="1"/>
  <c r="U25" i="9"/>
  <c r="V25" i="9" s="1"/>
  <c r="W25" i="9" s="1"/>
  <c r="I25" i="9"/>
  <c r="J25" i="9" s="1"/>
  <c r="K25" i="9" s="1"/>
  <c r="AS26" i="9"/>
  <c r="AT26" i="9" s="1"/>
  <c r="AU26" i="9" s="1"/>
  <c r="M25" i="9"/>
  <c r="N25" i="9" s="1"/>
  <c r="O25" i="9" s="1"/>
  <c r="U24" i="9"/>
  <c r="V24" i="9" s="1"/>
  <c r="W24" i="9" s="1"/>
  <c r="Q31" i="9"/>
  <c r="R31" i="9" s="1"/>
  <c r="S31" i="9" s="1"/>
  <c r="I33" i="9"/>
  <c r="J33" i="9" s="1"/>
  <c r="K33" i="9" s="1"/>
  <c r="U29" i="9"/>
  <c r="V29" i="9" s="1"/>
  <c r="W29" i="9" s="1"/>
  <c r="Y23" i="9"/>
  <c r="Z23" i="9" s="1"/>
  <c r="AA23" i="9" s="1"/>
  <c r="AS29" i="9"/>
  <c r="AT29" i="9" s="1"/>
  <c r="AU29" i="9" s="1"/>
  <c r="AS25" i="9"/>
  <c r="AT25" i="9" s="1"/>
  <c r="AU25" i="9" s="1"/>
  <c r="Y25" i="9"/>
  <c r="Z25" i="9" s="1"/>
  <c r="AA25" i="9" s="1"/>
  <c r="AG25" i="9"/>
  <c r="AH25" i="9" s="1"/>
  <c r="AI25" i="9" s="1"/>
  <c r="AC27" i="9"/>
  <c r="AD27" i="9" s="1"/>
  <c r="AE27" i="9" s="1"/>
  <c r="AG32" i="9"/>
  <c r="AH32" i="9" s="1"/>
  <c r="AI32" i="9" s="1"/>
  <c r="U28" i="9"/>
  <c r="V28" i="9" s="1"/>
  <c r="W28" i="9" s="1"/>
  <c r="U26" i="9"/>
  <c r="V26" i="9" s="1"/>
  <c r="W26" i="9" s="1"/>
  <c r="Y27" i="9"/>
  <c r="Z27" i="9" s="1"/>
  <c r="AA27" i="9" s="1"/>
  <c r="U31" i="9"/>
  <c r="V31" i="9" s="1"/>
  <c r="W31" i="9" s="1"/>
  <c r="Q29" i="9"/>
  <c r="R29" i="9" s="1"/>
  <c r="S29" i="9" s="1"/>
  <c r="U32" i="9"/>
  <c r="V32" i="9" s="1"/>
  <c r="W32" i="9" s="1"/>
  <c r="AC33" i="9"/>
  <c r="AD33" i="9" s="1"/>
  <c r="AE33" i="9" s="1"/>
  <c r="M27" i="9"/>
  <c r="N27" i="9" s="1"/>
  <c r="O27" i="9" s="1"/>
  <c r="AC26" i="9"/>
  <c r="AD26" i="9" s="1"/>
  <c r="AE26" i="9" s="1"/>
  <c r="AG24" i="9"/>
  <c r="AH24" i="9" s="1"/>
  <c r="AI24" i="9" s="1"/>
  <c r="AC25" i="9"/>
  <c r="AD25" i="9" s="1"/>
  <c r="AE25" i="9" s="1"/>
  <c r="M33" i="9"/>
  <c r="N33" i="9" s="1"/>
  <c r="O33" i="9" s="1"/>
  <c r="U33" i="9"/>
  <c r="V33" i="9" s="1"/>
  <c r="W33" i="9" s="1"/>
  <c r="W7" i="3"/>
  <c r="O7" i="3"/>
  <c r="P7" i="3" s="1"/>
  <c r="W5" i="3"/>
  <c r="O5" i="3"/>
  <c r="P5" i="3" s="1"/>
  <c r="W3" i="3"/>
  <c r="O3" i="3"/>
  <c r="P3" i="3" s="1"/>
  <c r="W10" i="3"/>
  <c r="O10" i="3"/>
  <c r="P10" i="3" s="1"/>
  <c r="O6" i="3"/>
  <c r="P6" i="3" s="1"/>
  <c r="W6" i="3"/>
  <c r="W4" i="3"/>
  <c r="O4" i="3"/>
  <c r="P4" i="3" s="1"/>
  <c r="W11" i="3"/>
  <c r="O11" i="3"/>
  <c r="P11" i="3" s="1"/>
  <c r="W9" i="3"/>
  <c r="O9" i="3"/>
  <c r="P9" i="3" s="1"/>
  <c r="O8" i="3"/>
  <c r="P8" i="3" s="1"/>
  <c r="W8" i="3"/>
  <c r="O2" i="3"/>
  <c r="P2" i="3" s="1"/>
  <c r="W2" i="3"/>
  <c r="J17" i="12" l="1"/>
  <c r="K17" i="12" s="1"/>
</calcChain>
</file>

<file path=xl/sharedStrings.xml><?xml version="1.0" encoding="utf-8"?>
<sst xmlns="http://schemas.openxmlformats.org/spreadsheetml/2006/main" count="493" uniqueCount="122">
  <si>
    <t>DATOS RECTA PATRÓN</t>
  </si>
  <si>
    <t>ENSAYO</t>
  </si>
  <si>
    <r>
      <t>m</t>
    </r>
    <r>
      <rPr>
        <vertAlign val="subscript"/>
        <sz val="11"/>
        <color theme="1"/>
        <rFont val="Aptos Narrow"/>
        <family val="2"/>
        <scheme val="minor"/>
      </rPr>
      <t>Pi</t>
    </r>
    <r>
      <rPr>
        <sz val="11"/>
        <color theme="1"/>
        <rFont val="Aptos Narrow"/>
        <family val="2"/>
        <scheme val="minor"/>
      </rPr>
      <t xml:space="preserve"> (ng)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</si>
  <si>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830</t>
    </r>
    <r>
      <rPr>
        <sz val="11"/>
        <color theme="1"/>
        <rFont val="Aptos Narrow"/>
        <family val="2"/>
        <scheme val="minor"/>
      </rPr>
      <t xml:space="preserve"> (u.a.)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</si>
  <si>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830</t>
    </r>
    <r>
      <rPr>
        <sz val="11"/>
        <color theme="1"/>
        <rFont val="Aptos Narrow"/>
        <family val="2"/>
        <scheme val="minor"/>
      </rPr>
      <t>' (u.a.)</t>
    </r>
  </si>
  <si>
    <r>
      <t>A</t>
    </r>
    <r>
      <rPr>
        <vertAlign val="superscript"/>
        <sz val="11"/>
        <color theme="1"/>
        <rFont val="Aptos Narrow"/>
        <family val="2"/>
        <scheme val="minor"/>
      </rPr>
      <t>830</t>
    </r>
    <r>
      <rPr>
        <sz val="11"/>
        <color theme="1"/>
        <rFont val="Aptos Narrow"/>
        <family val="2"/>
        <scheme val="minor"/>
      </rPr>
      <t xml:space="preserve"> media (u.a.)</t>
    </r>
  </si>
  <si>
    <t>CONTROL + (M9)</t>
  </si>
  <si>
    <t>CONTROL - (LB)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</si>
  <si>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</si>
  <si>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</si>
  <si>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</si>
  <si>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</si>
  <si>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</si>
  <si>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</si>
  <si>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</si>
  <si>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</si>
  <si>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tiempo (min)</t>
  </si>
  <si>
    <r>
      <t>OD</t>
    </r>
    <r>
      <rPr>
        <vertAlign val="superscript"/>
        <sz val="11"/>
        <color theme="1"/>
        <rFont val="Aptos Narrow"/>
        <family val="2"/>
        <scheme val="minor"/>
      </rPr>
      <t>600</t>
    </r>
    <r>
      <rPr>
        <sz val="11"/>
        <color theme="1"/>
        <rFont val="Aptos Narrow"/>
        <family val="2"/>
        <scheme val="minor"/>
      </rPr>
      <t xml:space="preserve"> (u.a.)</t>
    </r>
  </si>
  <si>
    <t>PENDIENTE</t>
  </si>
  <si>
    <t>ORDEN. ORIGEN</t>
  </si>
  <si>
    <r>
      <t>m</t>
    </r>
    <r>
      <rPr>
        <vertAlign val="subscript"/>
        <sz val="11"/>
        <color theme="1"/>
        <rFont val="Aptos Narrow"/>
        <family val="2"/>
        <scheme val="minor"/>
      </rPr>
      <t>Pi total</t>
    </r>
    <r>
      <rPr>
        <sz val="11"/>
        <color theme="1"/>
        <rFont val="Aptos Narrow"/>
        <family val="2"/>
        <scheme val="minor"/>
      </rPr>
      <t xml:space="preserve"> 1mL (ng)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</si>
  <si>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Pi</t>
    </r>
    <r>
      <rPr>
        <sz val="11"/>
        <color theme="1"/>
        <rFont val="Aptos Narrow"/>
        <family val="2"/>
        <scheme val="minor"/>
      </rPr>
      <t>/OD</t>
    </r>
    <r>
      <rPr>
        <vertAlign val="superscript"/>
        <sz val="11"/>
        <color theme="1"/>
        <rFont val="Aptos Narrow"/>
        <family val="2"/>
        <scheme val="minor"/>
      </rPr>
      <t>600</t>
    </r>
    <r>
      <rPr>
        <sz val="11"/>
        <color theme="1"/>
        <rFont val="Aptos Narrow"/>
        <family val="2"/>
        <scheme val="minor"/>
      </rPr>
      <t xml:space="preserve"> (ng/u.a.)</t>
    </r>
  </si>
  <si>
    <t>t (min)</t>
  </si>
  <si>
    <t>OD600 (UA)</t>
  </si>
  <si>
    <t>Tubo recta</t>
  </si>
  <si>
    <t>ng P</t>
  </si>
  <si>
    <t>A830</t>
  </si>
  <si>
    <t>R1</t>
  </si>
  <si>
    <t>R1'</t>
  </si>
  <si>
    <t>R2</t>
  </si>
  <si>
    <t>R2'</t>
  </si>
  <si>
    <t>R3</t>
  </si>
  <si>
    <t>R3'</t>
  </si>
  <si>
    <t>R4</t>
  </si>
  <si>
    <t>R4'</t>
  </si>
  <si>
    <t>R5</t>
  </si>
  <si>
    <t>R5'</t>
  </si>
  <si>
    <t>R6</t>
  </si>
  <si>
    <t>R6'</t>
  </si>
  <si>
    <t>R7</t>
  </si>
  <si>
    <t>R7'</t>
  </si>
  <si>
    <t>R8</t>
  </si>
  <si>
    <t>R8'</t>
  </si>
  <si>
    <t>R9</t>
  </si>
  <si>
    <t>R9'</t>
  </si>
  <si>
    <t>&gt;3</t>
  </si>
  <si>
    <t>R</t>
  </si>
  <si>
    <t>Abs 830nm</t>
  </si>
  <si>
    <t>R'</t>
  </si>
  <si>
    <t>R media</t>
  </si>
  <si>
    <t>R media corr</t>
  </si>
  <si>
    <t>S</t>
  </si>
  <si>
    <t>Abs 830 nm</t>
  </si>
  <si>
    <t>S corr</t>
  </si>
  <si>
    <t>ng P calc</t>
  </si>
  <si>
    <t>ng x5 (dil para cuantif)</t>
  </si>
  <si>
    <t>xdil ensayo dia 2/3</t>
  </si>
  <si>
    <t>S'</t>
  </si>
  <si>
    <t>S' corr</t>
  </si>
  <si>
    <t>S1</t>
  </si>
  <si>
    <t>S1'</t>
  </si>
  <si>
    <t>S2</t>
  </si>
  <si>
    <t>S2'</t>
  </si>
  <si>
    <t>S3</t>
  </si>
  <si>
    <t>S3'</t>
  </si>
  <si>
    <t>S4</t>
  </si>
  <si>
    <t>S4'</t>
  </si>
  <si>
    <t>S5</t>
  </si>
  <si>
    <t>S5'</t>
  </si>
  <si>
    <t>S6</t>
  </si>
  <si>
    <t>S6'</t>
  </si>
  <si>
    <t>S7</t>
  </si>
  <si>
    <t>S7'</t>
  </si>
  <si>
    <t>S8</t>
  </si>
  <si>
    <t>S8'</t>
  </si>
  <si>
    <t>S9</t>
  </si>
  <si>
    <t>S9'</t>
  </si>
  <si>
    <t>S10</t>
  </si>
  <si>
    <t>S10'</t>
  </si>
  <si>
    <t>Está *1 para que aparezca en la gráfica, @Diego cambia *1 por *dil del ensayo en las dos col amarillas</t>
  </si>
  <si>
    <t>MEDIO SINTÉTICO ESTÁNDAR</t>
  </si>
  <si>
    <t>-</t>
  </si>
  <si>
    <t>MEDIO SINTÉTICO</t>
  </si>
  <si>
    <t>A (pH 6, 1:1)</t>
  </si>
  <si>
    <t>B (pH 6, 1:35)</t>
  </si>
  <si>
    <t>C (pH 7, 1:1)</t>
  </si>
  <si>
    <t>D (pH 7, 1:35)</t>
  </si>
  <si>
    <t>STOCK 100μM</t>
  </si>
  <si>
    <t>STOCK 10μM</t>
  </si>
  <si>
    <t>OLIGO</t>
  </si>
  <si>
    <t>SECUENCIA</t>
  </si>
  <si>
    <t>MASA MOLECULAR (μg/mol)</t>
  </si>
  <si>
    <t>nmol enviados (nmol)</t>
  </si>
  <si>
    <t>[stock deseada] (nmol/mL) (μM)</t>
  </si>
  <si>
    <r>
      <t>H</t>
    </r>
    <r>
      <rPr>
        <b/>
        <vertAlign val="sub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>O para disolver (μL)</t>
    </r>
  </si>
  <si>
    <t>Volumen total (μL)</t>
  </si>
  <si>
    <t>Volumen stock (μL)</t>
  </si>
  <si>
    <r>
      <t>Volumen H</t>
    </r>
    <r>
      <rPr>
        <b/>
        <vertAlign val="sub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>O (μL)</t>
    </r>
  </si>
  <si>
    <t>PPXF</t>
  </si>
  <si>
    <t>ATCGAGGTCTCCGTGGACCCAGCGCTATTTCCGCGAGTTTTAGAGCTAGAAATAGC</t>
  </si>
  <si>
    <t>PPKBF</t>
  </si>
  <si>
    <t>ATCGAGGTCTCCAGGTAAACAGCCAGAAAAACTGGGGTTTTAGAGCTAGAAATAGC</t>
  </si>
  <si>
    <t>PITBF</t>
  </si>
  <si>
    <t>ATCGAGGTCTCCGCGGGTACCAGGTGCCCAGGTTCCGTTTTAGAGCTAGAAATAGC</t>
  </si>
  <si>
    <t>PPXR</t>
  </si>
  <si>
    <t>ATCGAGGTCTCCACCTTTAGCTGCCTATACGGCAGT</t>
  </si>
  <si>
    <t>PPKBR</t>
  </si>
  <si>
    <t>ATCGAGGTCTCCCCGCTTAGCTGCCTATACGGCAGT</t>
  </si>
  <si>
    <t>PITBR</t>
  </si>
  <si>
    <t>ATCGAGGTCTCCAAACTTTCTTAGCTGCCTATACGG</t>
  </si>
  <si>
    <t>CPPXF</t>
  </si>
  <si>
    <t>GGGGCCTGGATTGCCTCAAG</t>
  </si>
  <si>
    <t>CPPKBF</t>
  </si>
  <si>
    <t>AACTGACCCGTGACTCGGCC</t>
  </si>
  <si>
    <t>CPITBF</t>
  </si>
  <si>
    <t>TCGTTGGAGCCGTGCACGAAG</t>
  </si>
  <si>
    <t>CPPXR</t>
  </si>
  <si>
    <t>CGCTTCGAGAATCGCCAAGC</t>
  </si>
  <si>
    <t>CPPKBR</t>
  </si>
  <si>
    <t>TCAACGCCCGCACGGTTGTAC</t>
  </si>
  <si>
    <t>CPITBR</t>
  </si>
  <si>
    <t>ATTCAGCGGACTGGATGCCTG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</si>
</sst>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164" fontId="0" fillId="0" borderId="0" xfId="0" applyNumberFormat="1"/>
    <xf numFmtId="0" fontId="0" fillId="3" borderId="0" xfId="0" applyFill="1"/>
    <xf numFmtId="2" fontId="0" fillId="0" borderId="0" xfId="0" applyNumberFormat="1"/>
    <xf numFmtId="0" fontId="0" fillId="0" borderId="0" xfId="0" applyAlignment="1">
      <alignment horizontal="left" vertical="center" wrapText="1" indent="1"/>
    </xf>
    <xf numFmtId="0" fontId="1" fillId="0" borderId="0" xfId="0" applyFont="1"/>
    <xf numFmtId="0" fontId="0" fillId="4" borderId="0" xfId="0" applyFill="1"/>
    <xf numFmtId="0" fontId="0" fillId="0" borderId="2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/>
    </xf>
    <xf numFmtId="0" fontId="4" fillId="13" borderId="21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0" fontId="4" fillId="14" borderId="21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6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33CC"/>
      <color rgb="FF0033CC"/>
      <color rgb="FF0099FF"/>
      <color rgb="FF33CCFF"/>
      <color rgb="FF33CC33"/>
      <color rgb="FFFFCC00"/>
      <color rgb="FFFF6600"/>
      <color rgb="FFFF9999"/>
      <color rgb="FFFF7C80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ensayo'!$K$23:$K$33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AC3-4EAE-94BD-F03411339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ensayo'!$O$23:$O$33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0B-4075-B277-08BE0C30C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ensayo'!$S$23:$S$33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8E-4665-B0CA-26890FA1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ensayo'!$W$23:$W$33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5-4F5E-95F3-6AEA5D031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ensayo'!$AA$23:$AA$33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1F-4819-AB0C-0DD8815F4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ensayo'!$AE$23:$AE$33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45-4463-BEAD-3268F10C2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ensayo'!$AI$23:$AI$33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16-4F85-95CE-BE54139D9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ensayo'!$AM$23:$AM$33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F-4BEB-B9C8-BAC76FDC0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ensayo'!$AQ$23:$AQ$33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1-4976-9D80-BB9C67A8E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ensayo'!$AU$23:$AU$33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34-4CA5-8244-F9930AB6D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none" spc="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s-ES" sz="1500"/>
              <a:t>Valoración de fósforo ensayo XX/XX/XXXX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none" spc="0" normalizeH="0" baseline="0">
              <a:solidFill>
                <a:sysClr val="windowText" lastClr="000000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'(NO EDITAR) Plantilla ensayo'!$H$21:$K$21</c:f>
              <c:strCache>
                <c:ptCount val="4"/>
                <c:pt idx="0">
                  <c:v>CONTROL + (M9)</c:v>
                </c:pt>
              </c:strCache>
            </c:strRef>
          </c:tx>
          <c:spPr>
            <a:ln w="15875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ensayo'!$K$23:$K$33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4-47A8-8E99-F3D36FA44586}"/>
            </c:ext>
          </c:extLst>
        </c:ser>
        <c:ser>
          <c:idx val="1"/>
          <c:order val="1"/>
          <c:tx>
            <c:strRef>
              <c:f>'(NO EDITAR) Plantilla ensayo'!$L$21:$O$21</c:f>
              <c:strCache>
                <c:ptCount val="4"/>
                <c:pt idx="0">
                  <c:v>CONTROL - (LB)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ensayo'!$O$23:$O$33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4-47A8-8E99-F3D36FA44586}"/>
            </c:ext>
          </c:extLst>
        </c:ser>
        <c:ser>
          <c:idx val="2"/>
          <c:order val="2"/>
          <c:tx>
            <c:strRef>
              <c:f>'(NO EDITAR) Plantilla ensayo'!$P$21:$S$21</c:f>
              <c:strCache>
                <c:ptCount val="4"/>
                <c:pt idx="0">
                  <c:v>SAMPLE 1</c:v>
                </c:pt>
              </c:strCache>
            </c:strRef>
          </c:tx>
          <c:spPr>
            <a:ln w="15875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rgbClr val="C00000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ensayo'!$S$23:$S$33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D4-47A8-8E99-F3D36FA44586}"/>
            </c:ext>
          </c:extLst>
        </c:ser>
        <c:ser>
          <c:idx val="3"/>
          <c:order val="3"/>
          <c:tx>
            <c:strRef>
              <c:f>'(NO EDITAR) Plantilla ensayo'!$T$21:$W$21</c:f>
              <c:strCache>
                <c:ptCount val="4"/>
                <c:pt idx="0">
                  <c:v>SAMPLE 2</c:v>
                </c:pt>
              </c:strCache>
            </c:strRef>
          </c:tx>
          <c:spPr>
            <a:ln w="15875" cap="rnd">
              <a:solidFill>
                <a:srgbClr val="FF6600">
                  <a:alpha val="50000"/>
                </a:srgbClr>
              </a:solidFill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rgbClr val="FF6600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ensayo'!$W$23:$W$33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D4-47A8-8E99-F3D36FA44586}"/>
            </c:ext>
          </c:extLst>
        </c:ser>
        <c:ser>
          <c:idx val="4"/>
          <c:order val="4"/>
          <c:tx>
            <c:strRef>
              <c:f>'(NO EDITAR) Plantilla ensayo'!$X$21:$AA$21</c:f>
              <c:strCache>
                <c:ptCount val="4"/>
                <c:pt idx="0">
                  <c:v>SAMPLE 3</c:v>
                </c:pt>
              </c:strCache>
            </c:strRef>
          </c:tx>
          <c:spPr>
            <a:ln w="15875" cap="rnd">
              <a:solidFill>
                <a:srgbClr val="FFCC00">
                  <a:alpha val="50000"/>
                </a:srgb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rgbClr val="FFCC00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ensayo'!$AA$23:$AA$33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D4-47A8-8E99-F3D36FA44586}"/>
            </c:ext>
          </c:extLst>
        </c:ser>
        <c:ser>
          <c:idx val="5"/>
          <c:order val="5"/>
          <c:tx>
            <c:strRef>
              <c:f>'(NO EDITAR) Plantilla ensayo'!$AB$21:$AE$21</c:f>
              <c:strCache>
                <c:ptCount val="4"/>
                <c:pt idx="0">
                  <c:v>SAMPLE 4</c:v>
                </c:pt>
              </c:strCache>
            </c:strRef>
          </c:tx>
          <c:spPr>
            <a:ln w="15875" cap="rnd">
              <a:solidFill>
                <a:srgbClr val="33CC33">
                  <a:alpha val="49804"/>
                </a:srgb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33CC33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ensayo'!$AE$23:$AE$33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D4-47A8-8E99-F3D36FA44586}"/>
            </c:ext>
          </c:extLst>
        </c:ser>
        <c:ser>
          <c:idx val="6"/>
          <c:order val="6"/>
          <c:tx>
            <c:strRef>
              <c:f>'(NO EDITAR) Plantilla ensayo'!$AF$21:$AI$21</c:f>
              <c:strCache>
                <c:ptCount val="4"/>
                <c:pt idx="0">
                  <c:v>SAMPLE 5</c:v>
                </c:pt>
              </c:strCache>
            </c:strRef>
          </c:tx>
          <c:spPr>
            <a:ln w="15875" cap="rnd">
              <a:solidFill>
                <a:srgbClr val="0099FF">
                  <a:alpha val="50000"/>
                </a:srgb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15875">
                <a:solidFill>
                  <a:srgbClr val="0099FF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ensayo'!$AI$23:$AI$33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D4-47A8-8E99-F3D36FA44586}"/>
            </c:ext>
          </c:extLst>
        </c:ser>
        <c:ser>
          <c:idx val="7"/>
          <c:order val="7"/>
          <c:tx>
            <c:strRef>
              <c:f>'(NO EDITAR) Plantilla ensayo'!$AJ$21:$AM$21</c:f>
              <c:strCache>
                <c:ptCount val="4"/>
                <c:pt idx="0">
                  <c:v>SAMPLE 6</c:v>
                </c:pt>
              </c:strCache>
            </c:strRef>
          </c:tx>
          <c:spPr>
            <a:ln w="15875" cap="rnd">
              <a:solidFill>
                <a:srgbClr val="0033CC">
                  <a:alpha val="49804"/>
                </a:srgb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lt1"/>
              </a:solidFill>
              <a:ln w="15875">
                <a:solidFill>
                  <a:srgbClr val="0033CC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ensayo'!$AM$23:$AM$33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D4-47A8-8E99-F3D36FA44586}"/>
            </c:ext>
          </c:extLst>
        </c:ser>
        <c:ser>
          <c:idx val="8"/>
          <c:order val="8"/>
          <c:tx>
            <c:strRef>
              <c:f>'(NO EDITAR) Plantilla ensayo'!$AN$21:$AQ$21</c:f>
              <c:strCache>
                <c:ptCount val="4"/>
                <c:pt idx="0">
                  <c:v>SAMPLE 7</c:v>
                </c:pt>
              </c:strCache>
            </c:strRef>
          </c:tx>
          <c:spPr>
            <a:ln w="15875" cap="rnd">
              <a:solidFill>
                <a:srgbClr val="7030A0">
                  <a:alpha val="50000"/>
                </a:srgb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lt1"/>
              </a:solidFill>
              <a:ln w="15875">
                <a:solidFill>
                  <a:srgbClr val="7030A0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ensayo'!$AQ$23:$AQ$33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D4-47A8-8E99-F3D36FA44586}"/>
            </c:ext>
          </c:extLst>
        </c:ser>
        <c:ser>
          <c:idx val="9"/>
          <c:order val="9"/>
          <c:tx>
            <c:strRef>
              <c:f>'(NO EDITAR) Plantilla ensayo'!$AR$21:$AU$21</c:f>
              <c:strCache>
                <c:ptCount val="4"/>
                <c:pt idx="0">
                  <c:v>SAMPLE 8</c:v>
                </c:pt>
              </c:strCache>
            </c:strRef>
          </c:tx>
          <c:spPr>
            <a:ln w="15875" cap="rnd">
              <a:solidFill>
                <a:srgbClr val="FF33CC">
                  <a:alpha val="49804"/>
                </a:srgb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rgbClr val="FF33CC"/>
                </a:solidFill>
                <a:round/>
              </a:ln>
              <a:effectLst/>
            </c:spPr>
          </c:marker>
          <c:xVal>
            <c:numRef>
              <c:f>'(NO EDITAR) Plantilla ensayo'!$G$23:$G$33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'(NO EDITAR) Plantilla ensayo'!$AU$23:$AU$33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5D4-47A8-8E99-F3D36FA44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'(NO EDITAR) Plantilla ensayo'!$D$20:$D$27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250</c:v>
                </c:pt>
                <c:pt idx="5">
                  <c:v>500</c:v>
                </c:pt>
                <c:pt idx="6">
                  <c:v>750</c:v>
                </c:pt>
                <c:pt idx="7">
                  <c:v>1000</c:v>
                </c:pt>
              </c:numCache>
            </c:numRef>
          </c:xVal>
          <c:yVal>
            <c:numRef>
              <c:f>'(NO EDITAR) Plantilla ensayo'!$E$20:$E$27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20-463F-ADFA-1814CCA8B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m</a:t>
                </a:r>
                <a:r>
                  <a:rPr lang="es-ES" baseline="-25000"/>
                  <a:t>P</a:t>
                </a:r>
                <a:r>
                  <a:rPr lang="es-ES"/>
                  <a:t> (ng)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A</a:t>
                </a:r>
                <a:r>
                  <a:rPr lang="es-ES" sz="1000" b="1" i="0" u="none" strike="noStrike" baseline="30000">
                    <a:effectLst/>
                  </a:rPr>
                  <a:t>830</a:t>
                </a:r>
                <a:r>
                  <a:rPr lang="es-ES" sz="1000" b="1" i="0" u="none" strike="noStrike" baseline="0">
                    <a:effectLst/>
                  </a:rPr>
                  <a:t> media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'10-07-25'!$B$1</c:f>
              <c:strCache>
                <c:ptCount val="1"/>
                <c:pt idx="0">
                  <c:v>OD600 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'10-07-25'!$A$2:$A$11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180</c:v>
                </c:pt>
                <c:pt idx="9">
                  <c:v>240</c:v>
                </c:pt>
              </c:numCache>
            </c:numRef>
          </c:xVal>
          <c:yVal>
            <c:numRef>
              <c:f>'10-07-25'!$B$2:$B$11</c:f>
              <c:numCache>
                <c:formatCode>General</c:formatCode>
                <c:ptCount val="10"/>
                <c:pt idx="0">
                  <c:v>0.83799999999999997</c:v>
                </c:pt>
                <c:pt idx="1">
                  <c:v>0.82</c:v>
                </c:pt>
                <c:pt idx="2">
                  <c:v>0.81299999999999994</c:v>
                </c:pt>
                <c:pt idx="3">
                  <c:v>0.77600000000000002</c:v>
                </c:pt>
                <c:pt idx="4">
                  <c:v>0.78700000000000003</c:v>
                </c:pt>
                <c:pt idx="5">
                  <c:v>0.76700000000000002</c:v>
                </c:pt>
                <c:pt idx="6">
                  <c:v>0.72199999999999998</c:v>
                </c:pt>
                <c:pt idx="7">
                  <c:v>0.72799999999999998</c:v>
                </c:pt>
                <c:pt idx="8">
                  <c:v>0.69199999999999995</c:v>
                </c:pt>
                <c:pt idx="9">
                  <c:v>0.622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4-4F7F-BC69-22E01A7B0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047424"/>
        <c:axId val="1123596624"/>
      </c:scatterChart>
      <c:valAx>
        <c:axId val="1674047424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3596624"/>
        <c:crosses val="autoZero"/>
        <c:crossBetween val="midCat"/>
      </c:valAx>
      <c:valAx>
        <c:axId val="112359662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OD600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404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'Valoración de fosforo 1 14-07'!$B$2:$B$19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50</c:v>
                </c:pt>
                <c:pt idx="5">
                  <c:v>50</c:v>
                </c:pt>
                <c:pt idx="6">
                  <c:v>100</c:v>
                </c:pt>
                <c:pt idx="7">
                  <c:v>100</c:v>
                </c:pt>
                <c:pt idx="8">
                  <c:v>200</c:v>
                </c:pt>
                <c:pt idx="9">
                  <c:v>200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750</c:v>
                </c:pt>
                <c:pt idx="15">
                  <c:v>750</c:v>
                </c:pt>
                <c:pt idx="16">
                  <c:v>1000</c:v>
                </c:pt>
                <c:pt idx="17">
                  <c:v>1000</c:v>
                </c:pt>
              </c:numCache>
            </c:numRef>
          </c:xVal>
          <c:yVal>
            <c:numRef>
              <c:f>'Valoración de fosforo 1 14-07'!$C$2:$C$19</c:f>
              <c:numCache>
                <c:formatCode>General</c:formatCode>
                <c:ptCount val="18"/>
                <c:pt idx="0">
                  <c:v>0.55700000000000005</c:v>
                </c:pt>
                <c:pt idx="2">
                  <c:v>1.2709999999999999</c:v>
                </c:pt>
                <c:pt idx="4">
                  <c:v>1.806</c:v>
                </c:pt>
                <c:pt idx="6">
                  <c:v>1.5129999999999999</c:v>
                </c:pt>
                <c:pt idx="8">
                  <c:v>0.71899999999999997</c:v>
                </c:pt>
                <c:pt idx="10">
                  <c:v>1.1419999999999999</c:v>
                </c:pt>
                <c:pt idx="12">
                  <c:v>1.173</c:v>
                </c:pt>
                <c:pt idx="14">
                  <c:v>2.948</c:v>
                </c:pt>
                <c:pt idx="16">
                  <c:v>2.0169999999999999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5-4824-9B0B-F24F9E1CE559}"/>
            </c:ext>
          </c:extLst>
        </c:ser>
        <c:ser>
          <c:idx val="1"/>
          <c:order val="1"/>
          <c:tx>
            <c:v>R'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'Valoración de fosforo 1 14-07'!$B$2:$B$19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50</c:v>
                </c:pt>
                <c:pt idx="5">
                  <c:v>50</c:v>
                </c:pt>
                <c:pt idx="6">
                  <c:v>100</c:v>
                </c:pt>
                <c:pt idx="7">
                  <c:v>100</c:v>
                </c:pt>
                <c:pt idx="8">
                  <c:v>200</c:v>
                </c:pt>
                <c:pt idx="9">
                  <c:v>200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750</c:v>
                </c:pt>
                <c:pt idx="15">
                  <c:v>750</c:v>
                </c:pt>
                <c:pt idx="16">
                  <c:v>1000</c:v>
                </c:pt>
                <c:pt idx="17">
                  <c:v>1000</c:v>
                </c:pt>
              </c:numCache>
            </c:numRef>
          </c:xVal>
          <c:yVal>
            <c:numRef>
              <c:f>'Valoración de fosforo 1 14-07'!$D$2:$D$19</c:f>
              <c:numCache>
                <c:formatCode>General</c:formatCode>
                <c:ptCount val="18"/>
                <c:pt idx="1">
                  <c:v>0.72199999999999998</c:v>
                </c:pt>
                <c:pt idx="3">
                  <c:v>1.131</c:v>
                </c:pt>
                <c:pt idx="5">
                  <c:v>1.216</c:v>
                </c:pt>
                <c:pt idx="7">
                  <c:v>0.92300000000000004</c:v>
                </c:pt>
                <c:pt idx="9">
                  <c:v>0.88400000000000001</c:v>
                </c:pt>
                <c:pt idx="15">
                  <c:v>1.5669999999999999</c:v>
                </c:pt>
                <c:pt idx="17">
                  <c:v>2.8370000000000002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2-4417-AB06-354E8839186B}"/>
            </c:ext>
          </c:extLst>
        </c:ser>
        <c:ser>
          <c:idx val="2"/>
          <c:order val="2"/>
          <c:tx>
            <c:v>R'&gt;3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'Valoración de fosforo 1 14-07'!$B$2:$B$19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50</c:v>
                </c:pt>
                <c:pt idx="5">
                  <c:v>50</c:v>
                </c:pt>
                <c:pt idx="6">
                  <c:v>100</c:v>
                </c:pt>
                <c:pt idx="7">
                  <c:v>100</c:v>
                </c:pt>
                <c:pt idx="8">
                  <c:v>200</c:v>
                </c:pt>
                <c:pt idx="9">
                  <c:v>200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750</c:v>
                </c:pt>
                <c:pt idx="15">
                  <c:v>750</c:v>
                </c:pt>
                <c:pt idx="16">
                  <c:v>1000</c:v>
                </c:pt>
                <c:pt idx="17">
                  <c:v>1000</c:v>
                </c:pt>
              </c:numCache>
            </c:numRef>
          </c:xVal>
          <c:yVal>
            <c:numRef>
              <c:f>'Valoración de fosforo 1 14-07'!$E$2:$E$19</c:f>
              <c:numCache>
                <c:formatCode>General</c:formatCode>
                <c:ptCount val="18"/>
                <c:pt idx="11">
                  <c:v>3</c:v>
                </c:pt>
                <c:pt idx="1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9-4BAF-B0FE-D62DF6515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079816"/>
        <c:axId val="257081864"/>
      </c:scatterChart>
      <c:valAx>
        <c:axId val="25707981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ng 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81864"/>
        <c:crosses val="autoZero"/>
        <c:crossBetween val="midCat"/>
      </c:valAx>
      <c:valAx>
        <c:axId val="2570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A830nm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079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'Valoración de fósforo 2 15-07'!$A$2:$A$10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</c:numCache>
            </c:numRef>
          </c:xVal>
          <c:yVal>
            <c:numRef>
              <c:f>'Valoración de fósforo 2 15-07'!#REF!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8-4E67-9AC0-A8B7CE768B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'Valoración de fósforo 2 15-07'!$A$2:$A$10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</c:numCache>
            </c:numRef>
          </c:xVal>
          <c:yVal>
            <c:numRef>
              <c:f>'Valoración de fósforo 2 15-07'!#REF!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A8-4E67-9AC0-A8B7CE76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155911"/>
        <c:axId val="546796040"/>
      </c:scatterChart>
      <c:valAx>
        <c:axId val="1052155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796040"/>
        <c:crosses val="autoZero"/>
        <c:crossBetween val="midCat"/>
      </c:valAx>
      <c:valAx>
        <c:axId val="54679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55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Valoración de fósforo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Recta patrón - valores medios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'Valoración de fósforo 2 15-07'!$A$2:$A$10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</c:numCache>
            </c:numRef>
          </c:xVal>
          <c:yVal>
            <c:numRef>
              <c:f>'Valoración de fósforo 2 15-07'!$H$2:$H$10</c:f>
              <c:numCache>
                <c:formatCode>General</c:formatCode>
                <c:ptCount val="9"/>
                <c:pt idx="0">
                  <c:v>7.4500000000000011E-2</c:v>
                </c:pt>
                <c:pt idx="1">
                  <c:v>0.11749999999999999</c:v>
                </c:pt>
                <c:pt idx="2">
                  <c:v>0.14200000000000002</c:v>
                </c:pt>
                <c:pt idx="3">
                  <c:v>0.1885</c:v>
                </c:pt>
                <c:pt idx="4">
                  <c:v>0.31</c:v>
                </c:pt>
                <c:pt idx="5">
                  <c:v>0.373</c:v>
                </c:pt>
                <c:pt idx="6">
                  <c:v>0.65050000000000008</c:v>
                </c:pt>
                <c:pt idx="7">
                  <c:v>0.95799999999999996</c:v>
                </c:pt>
                <c:pt idx="8">
                  <c:v>1.2349999999999999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FF-409D-8041-964E05A5F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965831"/>
        <c:axId val="821967879"/>
      </c:scatterChart>
      <c:valAx>
        <c:axId val="821965831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ng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67879"/>
        <c:crosses val="autoZero"/>
        <c:crossBetween val="midCat"/>
      </c:valAx>
      <c:valAx>
        <c:axId val="82196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A830nm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65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Rectas patrón por separado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'Valoración de fósforo 2 15-07'!$A$2:$A$10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</c:numCache>
            </c:numRef>
          </c:xVal>
          <c:yVal>
            <c:numRef>
              <c:f>'Valoración de fósforo 2 15-07'!$C$2:$C$10</c:f>
              <c:numCache>
                <c:formatCode>0.000</c:formatCode>
                <c:ptCount val="9"/>
                <c:pt idx="0">
                  <c:v>6.6000000000000003E-2</c:v>
                </c:pt>
                <c:pt idx="1">
                  <c:v>0.126</c:v>
                </c:pt>
                <c:pt idx="2">
                  <c:v>0.13800000000000001</c:v>
                </c:pt>
                <c:pt idx="3">
                  <c:v>0.19400000000000001</c:v>
                </c:pt>
                <c:pt idx="4">
                  <c:v>0.32800000000000001</c:v>
                </c:pt>
                <c:pt idx="5">
                  <c:v>0.376</c:v>
                </c:pt>
                <c:pt idx="6">
                  <c:v>0.65300000000000002</c:v>
                </c:pt>
                <c:pt idx="7">
                  <c:v>0.94399999999999995</c:v>
                </c:pt>
                <c:pt idx="8">
                  <c:v>1.236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0-4EE0-B378-13D0DD76388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'Valoración de fósforo 2 15-07'!$A$2:$A$10</c:f>
              <c:numCache>
                <c:formatCode>General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250</c:v>
                </c:pt>
                <c:pt idx="6">
                  <c:v>500</c:v>
                </c:pt>
                <c:pt idx="7">
                  <c:v>750</c:v>
                </c:pt>
                <c:pt idx="8">
                  <c:v>1000</c:v>
                </c:pt>
              </c:numCache>
            </c:numRef>
          </c:xVal>
          <c:yVal>
            <c:numRef>
              <c:f>'Valoración de fósforo 2 15-07'!$F$2:$F$10</c:f>
              <c:numCache>
                <c:formatCode>0.000</c:formatCode>
                <c:ptCount val="9"/>
                <c:pt idx="0">
                  <c:v>8.3000000000000004E-2</c:v>
                </c:pt>
                <c:pt idx="1">
                  <c:v>0.109</c:v>
                </c:pt>
                <c:pt idx="2">
                  <c:v>0.14599999999999999</c:v>
                </c:pt>
                <c:pt idx="3">
                  <c:v>0.183</c:v>
                </c:pt>
                <c:pt idx="4">
                  <c:v>0.29199999999999998</c:v>
                </c:pt>
                <c:pt idx="5">
                  <c:v>0.37</c:v>
                </c:pt>
                <c:pt idx="6">
                  <c:v>0.64800000000000002</c:v>
                </c:pt>
                <c:pt idx="7">
                  <c:v>0.97199999999999998</c:v>
                </c:pt>
                <c:pt idx="8">
                  <c:v>1.234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80-4EE0-B378-13D0DD76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903240"/>
        <c:axId val="1343905288"/>
      </c:scatterChart>
      <c:valAx>
        <c:axId val="134390324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05288"/>
        <c:crosses val="autoZero"/>
        <c:crossBetween val="midCat"/>
      </c:valAx>
      <c:valAx>
        <c:axId val="134390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03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ng P/t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'Valoración de fósforo 2 15-07'!$L$2:$L$11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180</c:v>
                </c:pt>
                <c:pt idx="9">
                  <c:v>240</c:v>
                </c:pt>
              </c:numCache>
            </c:numRef>
          </c:xVal>
          <c:yVal>
            <c:numRef>
              <c:f>'Valoración de fósforo 2 15-07'!$Q$2:$Q$11</c:f>
              <c:numCache>
                <c:formatCode>General</c:formatCode>
                <c:ptCount val="10"/>
                <c:pt idx="0">
                  <c:v>6815</c:v>
                </c:pt>
                <c:pt idx="1">
                  <c:v>7890</c:v>
                </c:pt>
                <c:pt idx="2">
                  <c:v>3452.5000000000005</c:v>
                </c:pt>
                <c:pt idx="3">
                  <c:v>4656.666666666667</c:v>
                </c:pt>
                <c:pt idx="4">
                  <c:v>1831.666666666667</c:v>
                </c:pt>
                <c:pt idx="5">
                  <c:v>2640.0000000000005</c:v>
                </c:pt>
                <c:pt idx="6">
                  <c:v>1552.5000000000002</c:v>
                </c:pt>
                <c:pt idx="7">
                  <c:v>1973.3333333333337</c:v>
                </c:pt>
                <c:pt idx="8">
                  <c:v>3685.833333333333</c:v>
                </c:pt>
                <c:pt idx="9">
                  <c:v>1010.8333333333335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6-431E-BB89-763A26120E6D}"/>
            </c:ext>
          </c:extLst>
        </c:ser>
        <c:ser>
          <c:idx val="1"/>
          <c:order val="1"/>
          <c:tx>
            <c:v>S'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'Valoración de fósforo 2 15-07'!$L$2:$L$11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180</c:v>
                </c:pt>
                <c:pt idx="9">
                  <c:v>240</c:v>
                </c:pt>
              </c:numCache>
            </c:numRef>
          </c:xVal>
          <c:yVal>
            <c:numRef>
              <c:f>'Valoración de fósforo 2 15-07'!$X$2:$X$11</c:f>
              <c:numCache>
                <c:formatCode>General</c:formatCode>
                <c:ptCount val="10"/>
                <c:pt idx="0">
                  <c:v>7265</c:v>
                </c:pt>
                <c:pt idx="1">
                  <c:v>8056.6666666666679</c:v>
                </c:pt>
                <c:pt idx="2">
                  <c:v>3277.5</c:v>
                </c:pt>
                <c:pt idx="3">
                  <c:v>1994.166666666667</c:v>
                </c:pt>
                <c:pt idx="4">
                  <c:v>1835.8333333333335</c:v>
                </c:pt>
                <c:pt idx="5">
                  <c:v>2852.5</c:v>
                </c:pt>
                <c:pt idx="6">
                  <c:v>1702.5</c:v>
                </c:pt>
                <c:pt idx="7">
                  <c:v>2202.5000000000005</c:v>
                </c:pt>
                <c:pt idx="8">
                  <c:v>3715.0000000000005</c:v>
                </c:pt>
                <c:pt idx="9">
                  <c:v>1131.6666666666665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66-431E-BB89-763A26120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383047"/>
        <c:axId val="1647385095"/>
      </c:scatterChart>
      <c:valAx>
        <c:axId val="1647383047"/>
        <c:scaling>
          <c:orientation val="minMax"/>
          <c:max val="2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85095"/>
        <c:crosses val="autoZero"/>
        <c:crossBetween val="midCat"/>
        <c:majorUnit val="60"/>
        <c:minorUnit val="10"/>
      </c:valAx>
      <c:valAx>
        <c:axId val="1647385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ng 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83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5875" cap="rnd">
              <a:solidFill>
                <a:schemeClr val="dk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16-07-2025'!$G$23:$G$33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</c:numCache>
            </c:numRef>
          </c:xVal>
          <c:yVal>
            <c:numRef>
              <c:f>'Ensayo 16-07-2025'!$K$23:$K$33</c:f>
              <c:numCache>
                <c:formatCode>General</c:formatCode>
                <c:ptCount val="11"/>
                <c:pt idx="0">
                  <c:v>5693.9150161764646</c:v>
                </c:pt>
                <c:pt idx="1">
                  <c:v>11690.979339562713</c:v>
                </c:pt>
                <c:pt idx="2">
                  <c:v>24749.520067735404</c:v>
                </c:pt>
                <c:pt idx="3">
                  <c:v>15661.510130971905</c:v>
                </c:pt>
                <c:pt idx="4">
                  <c:v>54400.600108202671</c:v>
                </c:pt>
                <c:pt idx="5">
                  <c:v>8328.3733346746103</c:v>
                </c:pt>
                <c:pt idx="6">
                  <c:v>6168.8628291292644</c:v>
                </c:pt>
                <c:pt idx="7">
                  <c:v>8411.6990274395484</c:v>
                </c:pt>
                <c:pt idx="8">
                  <c:v>10488.859036568479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10-403F-8BCA-94C7DBF5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8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2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Pt>
            <c:idx val="3"/>
            <c:marker>
              <c:symbol val="diamond"/>
              <c:size val="6"/>
              <c:spPr>
                <a:solidFill>
                  <a:schemeClr val="lt1"/>
                </a:solidFill>
                <a:ln w="1587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15875" cap="rnd">
                <a:solidFill>
                  <a:schemeClr val="accen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F6-49D3-BDAB-F3957EF1181A}"/>
              </c:ext>
            </c:extLst>
          </c:dPt>
          <c:xVal>
            <c:numRef>
              <c:f>'Ensayo 16-07-2025'!$G$23:$G$33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</c:numCache>
            </c:numRef>
          </c:xVal>
          <c:yVal>
            <c:numRef>
              <c:f>'Ensayo 16-07-2025'!$O$23:$O$33</c:f>
              <c:numCache>
                <c:formatCode>General</c:formatCode>
                <c:ptCount val="11"/>
                <c:pt idx="0">
                  <c:v>4936.0729141366255</c:v>
                </c:pt>
                <c:pt idx="1">
                  <c:v>4902.5245494983892</c:v>
                </c:pt>
                <c:pt idx="2">
                  <c:v>13260.306273269287</c:v>
                </c:pt>
                <c:pt idx="3">
                  <c:v>2685.3397188607078</c:v>
                </c:pt>
                <c:pt idx="4">
                  <c:v>5875.9839829699031</c:v>
                </c:pt>
                <c:pt idx="5">
                  <c:v>4081.274650027086</c:v>
                </c:pt>
                <c:pt idx="6">
                  <c:v>3101.5658555500409</c:v>
                </c:pt>
                <c:pt idx="7">
                  <c:v>4829.3856223367311</c:v>
                </c:pt>
                <c:pt idx="8">
                  <c:v>3118.4280017772107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F6-49D3-BDAB-F3957EF1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8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2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587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16-07-2025'!$G$23:$G$33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</c:numCache>
            </c:numRef>
          </c:xVal>
          <c:yVal>
            <c:numRef>
              <c:f>'Ensayo 16-07-2025'!$S$23:$S$33</c:f>
              <c:numCache>
                <c:formatCode>General</c:formatCode>
                <c:ptCount val="11"/>
                <c:pt idx="0">
                  <c:v>11228.228717795253</c:v>
                </c:pt>
                <c:pt idx="1">
                  <c:v>7958.8225199259896</c:v>
                </c:pt>
                <c:pt idx="2">
                  <c:v>7333.0837250156328</c:v>
                </c:pt>
                <c:pt idx="3">
                  <c:v>9891.1122019809209</c:v>
                </c:pt>
                <c:pt idx="4">
                  <c:v>6917.717210906334</c:v>
                </c:pt>
                <c:pt idx="5">
                  <c:v>5724.9843673281657</c:v>
                </c:pt>
                <c:pt idx="6">
                  <c:v>10868.16410522689</c:v>
                </c:pt>
                <c:pt idx="7">
                  <c:v>9747.8197215387063</c:v>
                </c:pt>
                <c:pt idx="8">
                  <c:v>6485.8628783143849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26-4B9C-9064-3BEEB1D3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8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2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none" spc="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s-ES" sz="1500"/>
              <a:t>Valoración de fósforo ensayo 17/07/2025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none" spc="0" normalizeH="0" baseline="0">
              <a:solidFill>
                <a:sysClr val="windowText" lastClr="000000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'Ensayo 16-07-2025'!$H$21:$K$21</c:f>
              <c:strCache>
                <c:ptCount val="4"/>
                <c:pt idx="0">
                  <c:v>CONTROL + (M9)</c:v>
                </c:pt>
              </c:strCache>
            </c:strRef>
          </c:tx>
          <c:spPr>
            <a:ln w="15875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'Ensayo 16-07-2025'!$G$23:$G$33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</c:numCache>
            </c:numRef>
          </c:xVal>
          <c:yVal>
            <c:numRef>
              <c:f>'Ensayo 16-07-2025'!$K$23:$K$33</c:f>
              <c:numCache>
                <c:formatCode>General</c:formatCode>
                <c:ptCount val="11"/>
                <c:pt idx="0">
                  <c:v>5693.9150161764646</c:v>
                </c:pt>
                <c:pt idx="1">
                  <c:v>11690.979339562713</c:v>
                </c:pt>
                <c:pt idx="2">
                  <c:v>24749.520067735404</c:v>
                </c:pt>
                <c:pt idx="3">
                  <c:v>15661.510130971905</c:v>
                </c:pt>
                <c:pt idx="4">
                  <c:v>54400.600108202671</c:v>
                </c:pt>
                <c:pt idx="5">
                  <c:v>8328.3733346746103</c:v>
                </c:pt>
                <c:pt idx="6">
                  <c:v>6168.8628291292644</c:v>
                </c:pt>
                <c:pt idx="7">
                  <c:v>8411.6990274395484</c:v>
                </c:pt>
                <c:pt idx="8">
                  <c:v>10488.859036568479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6-4643-9E14-D781E2D6DFB2}"/>
            </c:ext>
          </c:extLst>
        </c:ser>
        <c:ser>
          <c:idx val="1"/>
          <c:order val="1"/>
          <c:tx>
            <c:strRef>
              <c:f>'Ensayo 16-07-2025'!$L$21:$O$21</c:f>
              <c:strCache>
                <c:ptCount val="4"/>
                <c:pt idx="0">
                  <c:v>CONTROL - (LB)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'Ensayo 16-07-2025'!$G$23:$G$33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</c:numCache>
            </c:numRef>
          </c:xVal>
          <c:yVal>
            <c:numRef>
              <c:f>'Ensayo 16-07-2025'!$O$23:$O$33</c:f>
              <c:numCache>
                <c:formatCode>General</c:formatCode>
                <c:ptCount val="11"/>
                <c:pt idx="0">
                  <c:v>4936.0729141366255</c:v>
                </c:pt>
                <c:pt idx="1">
                  <c:v>4902.5245494983892</c:v>
                </c:pt>
                <c:pt idx="2">
                  <c:v>13260.306273269287</c:v>
                </c:pt>
                <c:pt idx="3">
                  <c:v>2685.3397188607078</c:v>
                </c:pt>
                <c:pt idx="4">
                  <c:v>5875.9839829699031</c:v>
                </c:pt>
                <c:pt idx="5">
                  <c:v>4081.274650027086</c:v>
                </c:pt>
                <c:pt idx="6">
                  <c:v>3101.5658555500409</c:v>
                </c:pt>
                <c:pt idx="7">
                  <c:v>4829.3856223367311</c:v>
                </c:pt>
                <c:pt idx="8">
                  <c:v>3118.4280017772107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6-4643-9E14-D781E2D6DFB2}"/>
            </c:ext>
          </c:extLst>
        </c:ser>
        <c:ser>
          <c:idx val="2"/>
          <c:order val="2"/>
          <c:tx>
            <c:strRef>
              <c:f>'Ensayo 16-07-2025'!$P$21:$S$21</c:f>
              <c:strCache>
                <c:ptCount val="4"/>
                <c:pt idx="0">
                  <c:v>MEDIO SINTÉTICO ESTÁNDAR</c:v>
                </c:pt>
              </c:strCache>
            </c:strRef>
          </c:tx>
          <c:spPr>
            <a:ln w="15875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rgbClr val="C00000"/>
                </a:solidFill>
                <a:round/>
              </a:ln>
              <a:effectLst/>
            </c:spPr>
          </c:marker>
          <c:xVal>
            <c:numRef>
              <c:f>'Ensayo 16-07-2025'!$G$23:$G$33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</c:numCache>
            </c:numRef>
          </c:xVal>
          <c:yVal>
            <c:numRef>
              <c:f>'Ensayo 16-07-2025'!$S$23:$S$33</c:f>
              <c:numCache>
                <c:formatCode>General</c:formatCode>
                <c:ptCount val="11"/>
                <c:pt idx="0">
                  <c:v>11228.228717795253</c:v>
                </c:pt>
                <c:pt idx="1">
                  <c:v>7958.8225199259896</c:v>
                </c:pt>
                <c:pt idx="2">
                  <c:v>7333.0837250156328</c:v>
                </c:pt>
                <c:pt idx="3">
                  <c:v>9891.1122019809209</c:v>
                </c:pt>
                <c:pt idx="4">
                  <c:v>6917.717210906334</c:v>
                </c:pt>
                <c:pt idx="5">
                  <c:v>5724.9843673281657</c:v>
                </c:pt>
                <c:pt idx="6">
                  <c:v>10868.16410522689</c:v>
                </c:pt>
                <c:pt idx="7">
                  <c:v>9747.8197215387063</c:v>
                </c:pt>
                <c:pt idx="8">
                  <c:v>6485.8628783143849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76-4643-9E14-D781E2D6D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18-07-2025'!$K$23:$K$33</c:f>
              <c:numCache>
                <c:formatCode>General</c:formatCode>
                <c:ptCount val="11"/>
                <c:pt idx="0">
                  <c:v>28737.477172956951</c:v>
                </c:pt>
                <c:pt idx="1">
                  <c:v>67508.580470841072</c:v>
                </c:pt>
                <c:pt idx="2">
                  <c:v>35886.717379136004</c:v>
                </c:pt>
                <c:pt idx="3">
                  <c:v>35257.632366112091</c:v>
                </c:pt>
                <c:pt idx="4">
                  <c:v>240665.0845769484</c:v>
                </c:pt>
                <c:pt idx="5">
                  <c:v>36667.166283551582</c:v>
                </c:pt>
                <c:pt idx="6">
                  <c:v>34093.995032220591</c:v>
                </c:pt>
                <c:pt idx="7">
                  <c:v>41243.055343681968</c:v>
                </c:pt>
                <c:pt idx="8">
                  <c:v>41685.227479587302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0-4A45-8096-21F412DA2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18-07-2025'!$O$23:$O$33</c:f>
              <c:numCache>
                <c:formatCode>General</c:formatCode>
                <c:ptCount val="11"/>
                <c:pt idx="0">
                  <c:v>24989.055520657141</c:v>
                </c:pt>
                <c:pt idx="1">
                  <c:v>26988.556702403785</c:v>
                </c:pt>
                <c:pt idx="2">
                  <c:v>18248.808200378324</c:v>
                </c:pt>
                <c:pt idx="3">
                  <c:v>40722.086698165134</c:v>
                </c:pt>
                <c:pt idx="4">
                  <c:v>24752.482547370892</c:v>
                </c:pt>
                <c:pt idx="5">
                  <c:v>28634.108180016912</c:v>
                </c:pt>
                <c:pt idx="6">
                  <c:v>28378.510953153287</c:v>
                </c:pt>
                <c:pt idx="7">
                  <c:v>25598.022419647987</c:v>
                </c:pt>
                <c:pt idx="8">
                  <c:v>36305.473832011172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D4-4FD7-975F-DEEC55393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18-07-2025'!$S$23:$S$33</c:f>
              <c:numCache>
                <c:formatCode>General</c:formatCode>
                <c:ptCount val="11"/>
                <c:pt idx="0">
                  <c:v>23226.612407436067</c:v>
                </c:pt>
                <c:pt idx="1">
                  <c:v>20992.044619849974</c:v>
                </c:pt>
                <c:pt idx="2">
                  <c:v>17283.925237000305</c:v>
                </c:pt>
                <c:pt idx="3">
                  <c:v>25393.185152900154</c:v>
                </c:pt>
                <c:pt idx="4">
                  <c:v>36426.634969248284</c:v>
                </c:pt>
                <c:pt idx="5">
                  <c:v>20772.511922266112</c:v>
                </c:pt>
                <c:pt idx="6">
                  <c:v>26338.984554669292</c:v>
                </c:pt>
                <c:pt idx="7">
                  <c:v>21181.238536901063</c:v>
                </c:pt>
                <c:pt idx="8">
                  <c:v>19330.289430504865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9B-42F1-87DF-9E4F16040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18-07-2025'!$W$23:$W$33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4-4D17-835C-8912B94A7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18-07-2025'!$AA$23:$AA$33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4-461F-9B83-F2962F270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18-07-2025'!$AE$23:$AE$33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82-4C85-8278-6F365BF5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18-07-2025'!$AI$23:$AI$33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75-49E5-9229-D545F5B8F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18-07-2025'!$AM$23:$AM$33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B-4A78-9F45-30E24CD52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18-07-2025'!$AQ$23:$AQ$33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D4-4757-B0B4-0806B853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18-07-2025'!$AU$23:$AU$33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0-4635-9871-ABF55415B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09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none" spc="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s-ES" sz="1500"/>
              <a:t>Valoración de fósforo ensayo 18/07/2025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none" spc="0" normalizeH="0" baseline="0">
              <a:solidFill>
                <a:sysClr val="windowText" lastClr="000000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'Ensayo 18-07-2025'!$H$21:$K$21</c:f>
              <c:strCache>
                <c:ptCount val="4"/>
                <c:pt idx="0">
                  <c:v>CONTROL + (M9)</c:v>
                </c:pt>
              </c:strCache>
            </c:strRef>
          </c:tx>
          <c:spPr>
            <a:ln w="15875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18-07-2025'!$K$23:$K$33</c:f>
              <c:numCache>
                <c:formatCode>General</c:formatCode>
                <c:ptCount val="11"/>
                <c:pt idx="0">
                  <c:v>28737.477172956951</c:v>
                </c:pt>
                <c:pt idx="1">
                  <c:v>67508.580470841072</c:v>
                </c:pt>
                <c:pt idx="2">
                  <c:v>35886.717379136004</c:v>
                </c:pt>
                <c:pt idx="3">
                  <c:v>35257.632366112091</c:v>
                </c:pt>
                <c:pt idx="4">
                  <c:v>240665.0845769484</c:v>
                </c:pt>
                <c:pt idx="5">
                  <c:v>36667.166283551582</c:v>
                </c:pt>
                <c:pt idx="6">
                  <c:v>34093.995032220591</c:v>
                </c:pt>
                <c:pt idx="7">
                  <c:v>41243.055343681968</c:v>
                </c:pt>
                <c:pt idx="8">
                  <c:v>41685.227479587302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F-4E95-BD1B-7DD9EA7501FA}"/>
            </c:ext>
          </c:extLst>
        </c:ser>
        <c:ser>
          <c:idx val="1"/>
          <c:order val="1"/>
          <c:tx>
            <c:strRef>
              <c:f>'Ensayo 18-07-2025'!$L$21:$O$21</c:f>
              <c:strCache>
                <c:ptCount val="4"/>
                <c:pt idx="0">
                  <c:v>CONTROL - (LB)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18-07-2025'!$O$23:$O$33</c:f>
              <c:numCache>
                <c:formatCode>General</c:formatCode>
                <c:ptCount val="11"/>
                <c:pt idx="0">
                  <c:v>24989.055520657141</c:v>
                </c:pt>
                <c:pt idx="1">
                  <c:v>26988.556702403785</c:v>
                </c:pt>
                <c:pt idx="2">
                  <c:v>18248.808200378324</c:v>
                </c:pt>
                <c:pt idx="3">
                  <c:v>40722.086698165134</c:v>
                </c:pt>
                <c:pt idx="4">
                  <c:v>24752.482547370892</c:v>
                </c:pt>
                <c:pt idx="5">
                  <c:v>28634.108180016912</c:v>
                </c:pt>
                <c:pt idx="6">
                  <c:v>28378.510953153287</c:v>
                </c:pt>
                <c:pt idx="7">
                  <c:v>25598.022419647987</c:v>
                </c:pt>
                <c:pt idx="8">
                  <c:v>36305.473832011172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AF-4E95-BD1B-7DD9EA7501FA}"/>
            </c:ext>
          </c:extLst>
        </c:ser>
        <c:ser>
          <c:idx val="2"/>
          <c:order val="2"/>
          <c:tx>
            <c:strRef>
              <c:f>'Ensayo 18-07-2025'!$P$21:$S$21</c:f>
              <c:strCache>
                <c:ptCount val="4"/>
                <c:pt idx="0">
                  <c:v>MEDIO SINTÉTICO</c:v>
                </c:pt>
              </c:strCache>
            </c:strRef>
          </c:tx>
          <c:spPr>
            <a:ln w="15875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rgbClr val="C00000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18-07-2025'!$S$23:$S$33</c:f>
              <c:numCache>
                <c:formatCode>General</c:formatCode>
                <c:ptCount val="11"/>
                <c:pt idx="0">
                  <c:v>23226.612407436067</c:v>
                </c:pt>
                <c:pt idx="1">
                  <c:v>20992.044619849974</c:v>
                </c:pt>
                <c:pt idx="2">
                  <c:v>17283.925237000305</c:v>
                </c:pt>
                <c:pt idx="3">
                  <c:v>25393.185152900154</c:v>
                </c:pt>
                <c:pt idx="4">
                  <c:v>36426.634969248284</c:v>
                </c:pt>
                <c:pt idx="5">
                  <c:v>20772.511922266112</c:v>
                </c:pt>
                <c:pt idx="6">
                  <c:v>26338.984554669292</c:v>
                </c:pt>
                <c:pt idx="7">
                  <c:v>21181.238536901063</c:v>
                </c:pt>
                <c:pt idx="8">
                  <c:v>19330.289430504865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AF-4E95-BD1B-7DD9EA7501FA}"/>
            </c:ext>
          </c:extLst>
        </c:ser>
        <c:ser>
          <c:idx val="3"/>
          <c:order val="3"/>
          <c:tx>
            <c:strRef>
              <c:f>'Ensayo 18-07-2025'!$T$21:$W$21</c:f>
              <c:strCache>
                <c:ptCount val="4"/>
                <c:pt idx="0">
                  <c:v>SAMPLE 2</c:v>
                </c:pt>
              </c:strCache>
            </c:strRef>
          </c:tx>
          <c:spPr>
            <a:ln w="15875" cap="rnd">
              <a:solidFill>
                <a:srgbClr val="FF6600">
                  <a:alpha val="50000"/>
                </a:srgbClr>
              </a:solidFill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rgbClr val="FF6600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18-07-2025'!$W$23:$W$33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AF-4E95-BD1B-7DD9EA7501FA}"/>
            </c:ext>
          </c:extLst>
        </c:ser>
        <c:ser>
          <c:idx val="4"/>
          <c:order val="4"/>
          <c:tx>
            <c:strRef>
              <c:f>'Ensayo 18-07-2025'!$X$21:$AA$21</c:f>
              <c:strCache>
                <c:ptCount val="4"/>
                <c:pt idx="0">
                  <c:v>SAMPLE 3</c:v>
                </c:pt>
              </c:strCache>
            </c:strRef>
          </c:tx>
          <c:spPr>
            <a:ln w="15875" cap="rnd">
              <a:solidFill>
                <a:srgbClr val="FFCC00">
                  <a:alpha val="50000"/>
                </a:srgb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rgbClr val="FFCC00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18-07-2025'!$AA$23:$AA$33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AF-4E95-BD1B-7DD9EA7501FA}"/>
            </c:ext>
          </c:extLst>
        </c:ser>
        <c:ser>
          <c:idx val="5"/>
          <c:order val="5"/>
          <c:tx>
            <c:strRef>
              <c:f>'Ensayo 18-07-2025'!$AB$21:$AE$21</c:f>
              <c:strCache>
                <c:ptCount val="4"/>
                <c:pt idx="0">
                  <c:v>SAMPLE 4</c:v>
                </c:pt>
              </c:strCache>
            </c:strRef>
          </c:tx>
          <c:spPr>
            <a:ln w="15875" cap="rnd">
              <a:solidFill>
                <a:srgbClr val="33CC33">
                  <a:alpha val="49804"/>
                </a:srgb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33CC33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18-07-2025'!$AE$23:$AE$33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AF-4E95-BD1B-7DD9EA7501FA}"/>
            </c:ext>
          </c:extLst>
        </c:ser>
        <c:ser>
          <c:idx val="6"/>
          <c:order val="6"/>
          <c:tx>
            <c:strRef>
              <c:f>'Ensayo 18-07-2025'!$AF$21:$AI$21</c:f>
              <c:strCache>
                <c:ptCount val="4"/>
                <c:pt idx="0">
                  <c:v>SAMPLE 5</c:v>
                </c:pt>
              </c:strCache>
            </c:strRef>
          </c:tx>
          <c:spPr>
            <a:ln w="15875" cap="rnd">
              <a:solidFill>
                <a:srgbClr val="0099FF">
                  <a:alpha val="50000"/>
                </a:srgb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15875">
                <a:solidFill>
                  <a:srgbClr val="0099FF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18-07-2025'!$AI$23:$AI$33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AF-4E95-BD1B-7DD9EA7501FA}"/>
            </c:ext>
          </c:extLst>
        </c:ser>
        <c:ser>
          <c:idx val="7"/>
          <c:order val="7"/>
          <c:tx>
            <c:strRef>
              <c:f>'Ensayo 18-07-2025'!$AJ$21:$AM$21</c:f>
              <c:strCache>
                <c:ptCount val="4"/>
                <c:pt idx="0">
                  <c:v>SAMPLE 6</c:v>
                </c:pt>
              </c:strCache>
            </c:strRef>
          </c:tx>
          <c:spPr>
            <a:ln w="15875" cap="rnd">
              <a:solidFill>
                <a:srgbClr val="0033CC">
                  <a:alpha val="49804"/>
                </a:srgb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lt1"/>
              </a:solidFill>
              <a:ln w="15875">
                <a:solidFill>
                  <a:srgbClr val="0033CC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18-07-2025'!$AM$23:$AM$33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AF-4E95-BD1B-7DD9EA7501FA}"/>
            </c:ext>
          </c:extLst>
        </c:ser>
        <c:ser>
          <c:idx val="8"/>
          <c:order val="8"/>
          <c:tx>
            <c:strRef>
              <c:f>'Ensayo 18-07-2025'!$AN$21:$AQ$21</c:f>
              <c:strCache>
                <c:ptCount val="4"/>
                <c:pt idx="0">
                  <c:v>SAMPLE 7</c:v>
                </c:pt>
              </c:strCache>
            </c:strRef>
          </c:tx>
          <c:spPr>
            <a:ln w="15875" cap="rnd">
              <a:solidFill>
                <a:srgbClr val="7030A0">
                  <a:alpha val="50000"/>
                </a:srgb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lt1"/>
              </a:solidFill>
              <a:ln w="15875">
                <a:solidFill>
                  <a:srgbClr val="7030A0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18-07-2025'!$AQ$23:$AQ$33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2AF-4E95-BD1B-7DD9EA7501FA}"/>
            </c:ext>
          </c:extLst>
        </c:ser>
        <c:ser>
          <c:idx val="9"/>
          <c:order val="9"/>
          <c:tx>
            <c:strRef>
              <c:f>'Ensayo 18-07-2025'!$AR$21:$AU$21</c:f>
              <c:strCache>
                <c:ptCount val="4"/>
                <c:pt idx="0">
                  <c:v>SAMPLE 8</c:v>
                </c:pt>
              </c:strCache>
            </c:strRef>
          </c:tx>
          <c:spPr>
            <a:ln w="15875" cap="rnd">
              <a:solidFill>
                <a:srgbClr val="FF33CC">
                  <a:alpha val="49804"/>
                </a:srgb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rgbClr val="FF33CC"/>
                </a:solidFill>
                <a:round/>
              </a:ln>
              <a:effectLst/>
            </c:spPr>
          </c:marker>
          <c:xVal>
            <c:numRef>
              <c:f>'Ensayo 18-07-2025'!$G$23:$G$33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  <c:pt idx="7">
                  <c:v>150</c:v>
                </c:pt>
                <c:pt idx="8">
                  <c:v>180</c:v>
                </c:pt>
                <c:pt idx="9">
                  <c:v>210</c:v>
                </c:pt>
                <c:pt idx="10">
                  <c:v>240</c:v>
                </c:pt>
              </c:numCache>
            </c:numRef>
          </c:xVal>
          <c:yVal>
            <c:numRef>
              <c:f>'Ensayo 18-07-2025'!$AU$23:$AU$33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2AF-4E95-BD1B-7DD9EA750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25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'Ensayo 18-07-2025'!$D$20:$D$27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250</c:v>
                </c:pt>
                <c:pt idx="5">
                  <c:v>500</c:v>
                </c:pt>
                <c:pt idx="6">
                  <c:v>750</c:v>
                </c:pt>
                <c:pt idx="7">
                  <c:v>1000</c:v>
                </c:pt>
              </c:numCache>
            </c:numRef>
          </c:xVal>
          <c:yVal>
            <c:numRef>
              <c:f>'Ensayo 18-07-2025'!$E$20:$E$27</c:f>
              <c:numCache>
                <c:formatCode>General</c:formatCode>
                <c:ptCount val="8"/>
                <c:pt idx="0">
                  <c:v>3.2000000000000028E-2</c:v>
                </c:pt>
                <c:pt idx="1">
                  <c:v>2.8500000000000025E-2</c:v>
                </c:pt>
                <c:pt idx="2">
                  <c:v>0.10900000000000004</c:v>
                </c:pt>
                <c:pt idx="3">
                  <c:v>0.14350000000000002</c:v>
                </c:pt>
                <c:pt idx="4">
                  <c:v>0.20400000000000001</c:v>
                </c:pt>
                <c:pt idx="5">
                  <c:v>0.41100000000000009</c:v>
                </c:pt>
                <c:pt idx="6">
                  <c:v>0.871</c:v>
                </c:pt>
                <c:pt idx="7">
                  <c:v>1.0275000000000001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3-4A11-B277-F0A55A6D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m</a:t>
                </a:r>
                <a:r>
                  <a:rPr lang="es-ES" baseline="-25000"/>
                  <a:t>P</a:t>
                </a:r>
                <a:r>
                  <a:rPr lang="es-ES"/>
                  <a:t> (ng)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A</a:t>
                </a:r>
                <a:r>
                  <a:rPr lang="es-ES" sz="1000" b="1" i="0" u="none" strike="noStrike" baseline="30000">
                    <a:effectLst/>
                  </a:rPr>
                  <a:t>830</a:t>
                </a:r>
                <a:r>
                  <a:rPr lang="es-ES" sz="1000" b="1" i="0" u="none" strike="noStrike" baseline="0">
                    <a:effectLst/>
                  </a:rPr>
                  <a:t> media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21-07-2025'!$K$17:$K$21</c:f>
              <c:numCache>
                <c:formatCode>General</c:formatCode>
                <c:ptCount val="5"/>
                <c:pt idx="0">
                  <c:v>141802.52058819332</c:v>
                </c:pt>
                <c:pt idx="1">
                  <c:v>367969.1883696891</c:v>
                </c:pt>
                <c:pt idx="2">
                  <c:v>252304.13239001672</c:v>
                </c:pt>
                <c:pt idx="3">
                  <c:v>187549.4327773253</c:v>
                </c:pt>
                <c:pt idx="4">
                  <c:v>201675.18354725771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F2-4293-A680-958F826AF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368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inorUnit val="5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21-07-2025'!$O$17:$O$21</c:f>
              <c:numCache>
                <c:formatCode>General</c:formatCode>
                <c:ptCount val="5"/>
                <c:pt idx="0">
                  <c:v>31505.472064048441</c:v>
                </c:pt>
                <c:pt idx="1">
                  <c:v>51843.864056500919</c:v>
                </c:pt>
                <c:pt idx="2">
                  <c:v>65425.367601032398</c:v>
                </c:pt>
                <c:pt idx="3">
                  <c:v>53732.651252591444</c:v>
                </c:pt>
                <c:pt idx="4">
                  <c:v>37419.196133213656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CE-4307-A1F8-943F3D136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6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21-07-2025'!$S$17:$S$21</c:f>
              <c:numCache>
                <c:formatCode>General</c:formatCode>
                <c:ptCount val="5"/>
                <c:pt idx="0">
                  <c:v>43630.794315415667</c:v>
                </c:pt>
                <c:pt idx="1">
                  <c:v>17108.194848157749</c:v>
                </c:pt>
                <c:pt idx="2">
                  <c:v>31907.750289335701</c:v>
                </c:pt>
                <c:pt idx="3">
                  <c:v>50643.810636176837</c:v>
                </c:pt>
                <c:pt idx="4">
                  <c:v>50915.906710918098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F0-49D2-B75D-50B1F582A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5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21-07-2025'!$W$17:$W$21</c:f>
              <c:numCache>
                <c:formatCode>General</c:formatCode>
                <c:ptCount val="5"/>
                <c:pt idx="0">
                  <c:v>13669.233005903843</c:v>
                </c:pt>
                <c:pt idx="1">
                  <c:v>12626.262626262624</c:v>
                </c:pt>
                <c:pt idx="2">
                  <c:v>21172.009173117149</c:v>
                </c:pt>
                <c:pt idx="3">
                  <c:v>7499.3221766494189</c:v>
                </c:pt>
                <c:pt idx="4">
                  <c:v>9206.2447698419346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5A-4A00-9E13-B9633073F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2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in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21-07-2025'!$AA$17:$AA$21</c:f>
              <c:numCache>
                <c:formatCode>General</c:formatCode>
                <c:ptCount val="5"/>
                <c:pt idx="0">
                  <c:v>14169.06556500465</c:v>
                </c:pt>
                <c:pt idx="1">
                  <c:v>11906.889808922586</c:v>
                </c:pt>
                <c:pt idx="2">
                  <c:v>3973.5591206179447</c:v>
                </c:pt>
                <c:pt idx="3">
                  <c:v>10130.467488743328</c:v>
                </c:pt>
                <c:pt idx="4">
                  <c:v>7596.6215363150604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25-4A01-B85E-B8F73BA76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1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in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21-07-2025'!$AE$17:$AE$21</c:f>
              <c:numCache>
                <c:formatCode>General</c:formatCode>
                <c:ptCount val="5"/>
                <c:pt idx="0">
                  <c:v>13424.656424957055</c:v>
                </c:pt>
                <c:pt idx="1">
                  <c:v>16819.427132894623</c:v>
                </c:pt>
                <c:pt idx="2">
                  <c:v>14566.752864184517</c:v>
                </c:pt>
                <c:pt idx="3">
                  <c:v>39951.710937728298</c:v>
                </c:pt>
                <c:pt idx="4">
                  <c:v>27107.727887393197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77-42DA-8F8B-A70B5ED4C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'Ensayo 21-07-2025'!$D$20:$D$27</c:f>
              <c:numCache>
                <c:formatCode>General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250</c:v>
                </c:pt>
                <c:pt idx="5">
                  <c:v>500</c:v>
                </c:pt>
                <c:pt idx="6">
                  <c:v>750</c:v>
                </c:pt>
                <c:pt idx="7">
                  <c:v>1000</c:v>
                </c:pt>
              </c:numCache>
            </c:numRef>
          </c:xVal>
          <c:yVal>
            <c:numRef>
              <c:f>'Ensayo 21-07-2025'!$E$20:$E$27</c:f>
              <c:numCache>
                <c:formatCode>General</c:formatCode>
                <c:ptCount val="8"/>
                <c:pt idx="0">
                  <c:v>0.15250000000000002</c:v>
                </c:pt>
                <c:pt idx="1">
                  <c:v>0.21950000000000003</c:v>
                </c:pt>
                <c:pt idx="2">
                  <c:v>0.29000000000000004</c:v>
                </c:pt>
                <c:pt idx="3">
                  <c:v>0.37</c:v>
                </c:pt>
                <c:pt idx="4">
                  <c:v>1.875</c:v>
                </c:pt>
                <c:pt idx="5">
                  <c:v>1.8965000000000001</c:v>
                </c:pt>
                <c:pt idx="6">
                  <c:v>2.1134999999999997</c:v>
                </c:pt>
                <c:pt idx="7">
                  <c:v>2.2899999999999996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2-48F8-8E4B-2912F492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m</a:t>
                </a:r>
                <a:r>
                  <a:rPr lang="es-ES" baseline="-25000"/>
                  <a:t>P</a:t>
                </a:r>
                <a:r>
                  <a:rPr lang="es-ES"/>
                  <a:t> (ng)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2.2999999999999998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A</a:t>
                </a:r>
                <a:r>
                  <a:rPr lang="es-ES" sz="1000" b="1" i="0" u="none" strike="noStrike" baseline="30000">
                    <a:effectLst/>
                  </a:rPr>
                  <a:t>830</a:t>
                </a:r>
                <a:r>
                  <a:rPr lang="es-ES" sz="1000" b="1" i="0" u="none" strike="noStrike" baseline="0">
                    <a:effectLst/>
                  </a:rPr>
                  <a:t> media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21-07-2025'!$H$17:$H$21</c:f>
              <c:numCache>
                <c:formatCode>General</c:formatCode>
                <c:ptCount val="5"/>
                <c:pt idx="0">
                  <c:v>0.70699999999999996</c:v>
                </c:pt>
                <c:pt idx="1">
                  <c:v>0.61099999999999999</c:v>
                </c:pt>
                <c:pt idx="2">
                  <c:v>0.61299999999999999</c:v>
                </c:pt>
                <c:pt idx="3">
                  <c:v>0.60399999999999998</c:v>
                </c:pt>
                <c:pt idx="4">
                  <c:v>0.57799999999999996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CD-487A-9CF0-D961A03EF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21-07-2025'!$L$17:$L$21</c:f>
              <c:numCache>
                <c:formatCode>General</c:formatCode>
                <c:ptCount val="5"/>
                <c:pt idx="0">
                  <c:v>0.83299999999999996</c:v>
                </c:pt>
                <c:pt idx="1">
                  <c:v>1.2410000000000001</c:v>
                </c:pt>
                <c:pt idx="2">
                  <c:v>1.5329999999999999</c:v>
                </c:pt>
                <c:pt idx="3">
                  <c:v>1.6519999999999999</c:v>
                </c:pt>
                <c:pt idx="4">
                  <c:v>1.6919999999999999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8E-4A34-9CF6-26B099D57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21-07-2025'!$P$17:$P$21</c:f>
              <c:numCache>
                <c:formatCode>General</c:formatCode>
                <c:ptCount val="5"/>
                <c:pt idx="0">
                  <c:v>1.3640000000000001</c:v>
                </c:pt>
                <c:pt idx="1">
                  <c:v>1.871</c:v>
                </c:pt>
                <c:pt idx="2">
                  <c:v>1.9159999999999999</c:v>
                </c:pt>
                <c:pt idx="3">
                  <c:v>2.0419999999999998</c:v>
                </c:pt>
                <c:pt idx="4">
                  <c:v>2.1720000000000002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0C-4EC9-B912-8570EAB7E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21-07-2025'!$T$17:$T$21</c:f>
              <c:numCache>
                <c:formatCode>General</c:formatCode>
                <c:ptCount val="5"/>
                <c:pt idx="0">
                  <c:v>0.56399999999999995</c:v>
                </c:pt>
                <c:pt idx="1">
                  <c:v>0.56999999999999995</c:v>
                </c:pt>
                <c:pt idx="2">
                  <c:v>0.58399999999999996</c:v>
                </c:pt>
                <c:pt idx="3">
                  <c:v>0.61799999999999999</c:v>
                </c:pt>
                <c:pt idx="4">
                  <c:v>0.57299999999999995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B5-4D74-9353-62ADA0AA7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21-07-2025'!$X$17:$X$21</c:f>
              <c:numCache>
                <c:formatCode>General</c:formatCode>
                <c:ptCount val="5"/>
                <c:pt idx="0">
                  <c:v>1.379</c:v>
                </c:pt>
                <c:pt idx="1">
                  <c:v>2.1789999999999998</c:v>
                </c:pt>
                <c:pt idx="2">
                  <c:v>3.95</c:v>
                </c:pt>
                <c:pt idx="3">
                  <c:v>2.4809999999999999</c:v>
                </c:pt>
                <c:pt idx="4">
                  <c:v>2.4990000000000001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EF-4145-8FA0-2308D6CC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21-07-2025'!$AB$17:$AB$21</c:f>
              <c:numCache>
                <c:formatCode>General</c:formatCode>
                <c:ptCount val="5"/>
                <c:pt idx="0">
                  <c:v>0.58699999999999997</c:v>
                </c:pt>
                <c:pt idx="1">
                  <c:v>0.53200000000000003</c:v>
                </c:pt>
                <c:pt idx="2">
                  <c:v>0.497</c:v>
                </c:pt>
                <c:pt idx="3">
                  <c:v>0.48799999999999999</c:v>
                </c:pt>
                <c:pt idx="4">
                  <c:v>0.46400000000000002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DF-4E7E-94AE-F47EEF890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</c:valAx>
      <c:valAx>
        <c:axId val="71016224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none" spc="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s-ES" sz="1500"/>
              <a:t>Valoración de fósforo ensayo 21/07/2025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none" spc="0" normalizeH="0" baseline="0">
              <a:solidFill>
                <a:sysClr val="windowText" lastClr="000000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'Ensayo 21-07-2025'!$H$15:$K$15</c:f>
              <c:strCache>
                <c:ptCount val="4"/>
                <c:pt idx="0">
                  <c:v>CONTROL + (M9)</c:v>
                </c:pt>
              </c:strCache>
            </c:strRef>
          </c:tx>
          <c:spPr>
            <a:ln w="15875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21-07-2025'!$K$17:$K$21</c:f>
              <c:numCache>
                <c:formatCode>General</c:formatCode>
                <c:ptCount val="5"/>
                <c:pt idx="0">
                  <c:v>141802.52058819332</c:v>
                </c:pt>
                <c:pt idx="1">
                  <c:v>367969.1883696891</c:v>
                </c:pt>
                <c:pt idx="2">
                  <c:v>252304.13239001672</c:v>
                </c:pt>
                <c:pt idx="3">
                  <c:v>187549.4327773253</c:v>
                </c:pt>
                <c:pt idx="4">
                  <c:v>201675.18354725771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CE-46DA-ACD0-A5BAEA6A9013}"/>
            </c:ext>
          </c:extLst>
        </c:ser>
        <c:ser>
          <c:idx val="1"/>
          <c:order val="1"/>
          <c:tx>
            <c:strRef>
              <c:f>'Ensayo 21-07-2025'!$L$15:$O$15</c:f>
              <c:strCache>
                <c:ptCount val="4"/>
                <c:pt idx="0">
                  <c:v>CONTROL - (LB)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21-07-2025'!$O$17:$O$27</c:f>
              <c:numCache>
                <c:formatCode>General</c:formatCode>
                <c:ptCount val="11"/>
                <c:pt idx="0">
                  <c:v>31505.472064048441</c:v>
                </c:pt>
                <c:pt idx="1">
                  <c:v>51843.864056500919</c:v>
                </c:pt>
                <c:pt idx="2">
                  <c:v>65425.367601032398</c:v>
                </c:pt>
                <c:pt idx="3">
                  <c:v>53732.651252591444</c:v>
                </c:pt>
                <c:pt idx="4">
                  <c:v>37419.196133213656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CE-46DA-ACD0-A5BAEA6A9013}"/>
            </c:ext>
          </c:extLst>
        </c:ser>
        <c:ser>
          <c:idx val="2"/>
          <c:order val="2"/>
          <c:tx>
            <c:strRef>
              <c:f>'Ensayo 21-07-2025'!$P$15:$S$15</c:f>
              <c:strCache>
                <c:ptCount val="4"/>
                <c:pt idx="0">
                  <c:v>A (pH 6, 1:1)</c:v>
                </c:pt>
              </c:strCache>
            </c:strRef>
          </c:tx>
          <c:spPr>
            <a:ln w="15875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rgbClr val="C00000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21-07-2025'!$S$17:$S$27</c:f>
              <c:numCache>
                <c:formatCode>General</c:formatCode>
                <c:ptCount val="11"/>
                <c:pt idx="0">
                  <c:v>43630.794315415667</c:v>
                </c:pt>
                <c:pt idx="1">
                  <c:v>17108.194848157749</c:v>
                </c:pt>
                <c:pt idx="2">
                  <c:v>31907.750289335701</c:v>
                </c:pt>
                <c:pt idx="3">
                  <c:v>50643.810636176837</c:v>
                </c:pt>
                <c:pt idx="4">
                  <c:v>50915.906710918098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CE-46DA-ACD0-A5BAEA6A9013}"/>
            </c:ext>
          </c:extLst>
        </c:ser>
        <c:ser>
          <c:idx val="3"/>
          <c:order val="3"/>
          <c:tx>
            <c:strRef>
              <c:f>'Ensayo 21-07-2025'!$T$15:$W$15</c:f>
              <c:strCache>
                <c:ptCount val="4"/>
                <c:pt idx="0">
                  <c:v>B (pH 6, 1:35)</c:v>
                </c:pt>
              </c:strCache>
            </c:strRef>
          </c:tx>
          <c:spPr>
            <a:ln w="15875" cap="rnd">
              <a:solidFill>
                <a:srgbClr val="FF6600">
                  <a:alpha val="50000"/>
                </a:srgbClr>
              </a:solidFill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rgbClr val="FF6600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21-07-2025'!$W$17:$W$27</c:f>
              <c:numCache>
                <c:formatCode>General</c:formatCode>
                <c:ptCount val="11"/>
                <c:pt idx="0">
                  <c:v>13669.233005903843</c:v>
                </c:pt>
                <c:pt idx="1">
                  <c:v>12626.262626262624</c:v>
                </c:pt>
                <c:pt idx="2">
                  <c:v>21172.009173117149</c:v>
                </c:pt>
                <c:pt idx="3">
                  <c:v>7499.3221766494189</c:v>
                </c:pt>
                <c:pt idx="4">
                  <c:v>9206.2447698419346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CE-46DA-ACD0-A5BAEA6A9013}"/>
            </c:ext>
          </c:extLst>
        </c:ser>
        <c:ser>
          <c:idx val="4"/>
          <c:order val="4"/>
          <c:tx>
            <c:strRef>
              <c:f>'Ensayo 21-07-2025'!$X$15:$AA$15</c:f>
              <c:strCache>
                <c:ptCount val="4"/>
                <c:pt idx="0">
                  <c:v>C (pH 7, 1:1)</c:v>
                </c:pt>
              </c:strCache>
            </c:strRef>
          </c:tx>
          <c:spPr>
            <a:ln w="15875" cap="rnd">
              <a:solidFill>
                <a:srgbClr val="FFCC00">
                  <a:alpha val="50000"/>
                </a:srgb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rgbClr val="FFCC00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21-07-2025'!$AA$17:$AA$27</c:f>
              <c:numCache>
                <c:formatCode>General</c:formatCode>
                <c:ptCount val="11"/>
                <c:pt idx="0">
                  <c:v>14169.06556500465</c:v>
                </c:pt>
                <c:pt idx="1">
                  <c:v>11906.889808922586</c:v>
                </c:pt>
                <c:pt idx="2">
                  <c:v>3973.5591206179447</c:v>
                </c:pt>
                <c:pt idx="3">
                  <c:v>10130.467488743328</c:v>
                </c:pt>
                <c:pt idx="4">
                  <c:v>7596.6215363150604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CE-46DA-ACD0-A5BAEA6A9013}"/>
            </c:ext>
          </c:extLst>
        </c:ser>
        <c:ser>
          <c:idx val="5"/>
          <c:order val="5"/>
          <c:tx>
            <c:strRef>
              <c:f>'Ensayo 21-07-2025'!$AB$15:$AE$15</c:f>
              <c:strCache>
                <c:ptCount val="4"/>
                <c:pt idx="0">
                  <c:v>D (pH 7, 1:35)</c:v>
                </c:pt>
              </c:strCache>
            </c:strRef>
          </c:tx>
          <c:spPr>
            <a:ln w="15875" cap="rnd">
              <a:solidFill>
                <a:srgbClr val="33CC33">
                  <a:alpha val="49804"/>
                </a:srgb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33CC33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21-07-2025'!$AE$17:$AE$27</c:f>
              <c:numCache>
                <c:formatCode>General</c:formatCode>
                <c:ptCount val="11"/>
                <c:pt idx="0">
                  <c:v>13424.656424957055</c:v>
                </c:pt>
                <c:pt idx="1">
                  <c:v>16819.427132894623</c:v>
                </c:pt>
                <c:pt idx="2">
                  <c:v>14566.752864184517</c:v>
                </c:pt>
                <c:pt idx="3">
                  <c:v>39951.710937728298</c:v>
                </c:pt>
                <c:pt idx="4">
                  <c:v>27107.727887393197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CE-46DA-ACD0-A5BAEA6A9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3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none" spc="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s-ES" sz="1500"/>
              <a:t>Zoom</a:t>
            </a:r>
            <a:r>
              <a:rPr lang="es-ES" sz="1500" baseline="0"/>
              <a:t> v</a:t>
            </a:r>
            <a:r>
              <a:rPr lang="es-ES" sz="1500"/>
              <a:t>aloración de fósforo ensayo 21/07/2025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none" spc="0" normalizeH="0" baseline="0">
              <a:solidFill>
                <a:sysClr val="windowText" lastClr="000000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'Ensayo 21-07-2025'!$H$15:$K$15</c:f>
              <c:strCache>
                <c:ptCount val="4"/>
                <c:pt idx="0">
                  <c:v>CONTROL + (M9)</c:v>
                </c:pt>
              </c:strCache>
            </c:strRef>
          </c:tx>
          <c:spPr>
            <a:ln w="15875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xVal>
            <c:numRef>
              <c:f>'Ensayo 21-07-2025'!$G$17:$G$21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21-07-2025'!$K$17:$K$21</c:f>
              <c:numCache>
                <c:formatCode>General</c:formatCode>
                <c:ptCount val="5"/>
                <c:pt idx="0">
                  <c:v>141802.52058819332</c:v>
                </c:pt>
                <c:pt idx="1">
                  <c:v>367969.1883696891</c:v>
                </c:pt>
                <c:pt idx="2">
                  <c:v>252304.13239001672</c:v>
                </c:pt>
                <c:pt idx="3">
                  <c:v>187549.4327773253</c:v>
                </c:pt>
                <c:pt idx="4">
                  <c:v>201675.18354725771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E4-4C89-841A-204C0B69EE01}"/>
            </c:ext>
          </c:extLst>
        </c:ser>
        <c:ser>
          <c:idx val="1"/>
          <c:order val="1"/>
          <c:tx>
            <c:strRef>
              <c:f>'Ensayo 21-07-2025'!$L$15:$O$15</c:f>
              <c:strCache>
                <c:ptCount val="4"/>
                <c:pt idx="0">
                  <c:v>CONTROL - (LB)</c:v>
                </c:pt>
              </c:strCache>
            </c:strRef>
          </c:tx>
          <c:spPr>
            <a:ln w="15875" cap="rnd">
              <a:solidFill>
                <a:schemeClr val="tx1">
                  <a:lumMod val="50000"/>
                  <a:lumOff val="50000"/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21-07-2025'!$O$17:$O$27</c:f>
              <c:numCache>
                <c:formatCode>General</c:formatCode>
                <c:ptCount val="11"/>
                <c:pt idx="0">
                  <c:v>31505.472064048441</c:v>
                </c:pt>
                <c:pt idx="1">
                  <c:v>51843.864056500919</c:v>
                </c:pt>
                <c:pt idx="2">
                  <c:v>65425.367601032398</c:v>
                </c:pt>
                <c:pt idx="3">
                  <c:v>53732.651252591444</c:v>
                </c:pt>
                <c:pt idx="4">
                  <c:v>37419.196133213656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E4-4C89-841A-204C0B69EE01}"/>
            </c:ext>
          </c:extLst>
        </c:ser>
        <c:ser>
          <c:idx val="2"/>
          <c:order val="2"/>
          <c:tx>
            <c:strRef>
              <c:f>'Ensayo 21-07-2025'!$P$15:$S$15</c:f>
              <c:strCache>
                <c:ptCount val="4"/>
                <c:pt idx="0">
                  <c:v>A (pH 6, 1:1)</c:v>
                </c:pt>
              </c:strCache>
            </c:strRef>
          </c:tx>
          <c:spPr>
            <a:ln w="15875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rgbClr val="C00000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21-07-2025'!$S$17:$S$27</c:f>
              <c:numCache>
                <c:formatCode>General</c:formatCode>
                <c:ptCount val="11"/>
                <c:pt idx="0">
                  <c:v>43630.794315415667</c:v>
                </c:pt>
                <c:pt idx="1">
                  <c:v>17108.194848157749</c:v>
                </c:pt>
                <c:pt idx="2">
                  <c:v>31907.750289335701</c:v>
                </c:pt>
                <c:pt idx="3">
                  <c:v>50643.810636176837</c:v>
                </c:pt>
                <c:pt idx="4">
                  <c:v>50915.906710918098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E4-4C89-841A-204C0B69EE01}"/>
            </c:ext>
          </c:extLst>
        </c:ser>
        <c:ser>
          <c:idx val="3"/>
          <c:order val="3"/>
          <c:tx>
            <c:strRef>
              <c:f>'Ensayo 21-07-2025'!$T$15:$W$15</c:f>
              <c:strCache>
                <c:ptCount val="4"/>
                <c:pt idx="0">
                  <c:v>B (pH 6, 1:35)</c:v>
                </c:pt>
              </c:strCache>
            </c:strRef>
          </c:tx>
          <c:spPr>
            <a:ln w="15875" cap="rnd">
              <a:solidFill>
                <a:srgbClr val="FF6600">
                  <a:alpha val="50000"/>
                </a:srgbClr>
              </a:solidFill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rgbClr val="FF6600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21-07-2025'!$W$17:$W$27</c:f>
              <c:numCache>
                <c:formatCode>General</c:formatCode>
                <c:ptCount val="11"/>
                <c:pt idx="0">
                  <c:v>13669.233005903843</c:v>
                </c:pt>
                <c:pt idx="1">
                  <c:v>12626.262626262624</c:v>
                </c:pt>
                <c:pt idx="2">
                  <c:v>21172.009173117149</c:v>
                </c:pt>
                <c:pt idx="3">
                  <c:v>7499.3221766494189</c:v>
                </c:pt>
                <c:pt idx="4">
                  <c:v>9206.2447698419346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E4-4C89-841A-204C0B69EE01}"/>
            </c:ext>
          </c:extLst>
        </c:ser>
        <c:ser>
          <c:idx val="4"/>
          <c:order val="4"/>
          <c:tx>
            <c:strRef>
              <c:f>'Ensayo 21-07-2025'!$X$15:$AA$15</c:f>
              <c:strCache>
                <c:ptCount val="4"/>
                <c:pt idx="0">
                  <c:v>C (pH 7, 1:1)</c:v>
                </c:pt>
              </c:strCache>
            </c:strRef>
          </c:tx>
          <c:spPr>
            <a:ln w="15875" cap="rnd">
              <a:solidFill>
                <a:srgbClr val="FFCC00">
                  <a:alpha val="50000"/>
                </a:srgb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rgbClr val="FFCC00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21-07-2025'!$AA$17:$AA$27</c:f>
              <c:numCache>
                <c:formatCode>General</c:formatCode>
                <c:ptCount val="11"/>
                <c:pt idx="0">
                  <c:v>14169.06556500465</c:v>
                </c:pt>
                <c:pt idx="1">
                  <c:v>11906.889808922586</c:v>
                </c:pt>
                <c:pt idx="2">
                  <c:v>3973.5591206179447</c:v>
                </c:pt>
                <c:pt idx="3">
                  <c:v>10130.467488743328</c:v>
                </c:pt>
                <c:pt idx="4">
                  <c:v>7596.6215363150604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E4-4C89-841A-204C0B69EE01}"/>
            </c:ext>
          </c:extLst>
        </c:ser>
        <c:ser>
          <c:idx val="5"/>
          <c:order val="5"/>
          <c:tx>
            <c:strRef>
              <c:f>'Ensayo 21-07-2025'!$AB$15:$AE$15</c:f>
              <c:strCache>
                <c:ptCount val="4"/>
                <c:pt idx="0">
                  <c:v>D (pH 7, 1:35)</c:v>
                </c:pt>
              </c:strCache>
            </c:strRef>
          </c:tx>
          <c:spPr>
            <a:ln w="15875" cap="rnd">
              <a:solidFill>
                <a:srgbClr val="33CC33">
                  <a:alpha val="49804"/>
                </a:srgb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rgbClr val="33CC33"/>
                </a:solidFill>
                <a:round/>
              </a:ln>
              <a:effectLst/>
            </c:spPr>
          </c:marker>
          <c:xVal>
            <c:numRef>
              <c:f>'Ensayo 21-07-2025'!$G$17:$G$27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</c:numCache>
            </c:numRef>
          </c:xVal>
          <c:yVal>
            <c:numRef>
              <c:f>'Ensayo 21-07-2025'!$AE$17:$AE$27</c:f>
              <c:numCache>
                <c:formatCode>General</c:formatCode>
                <c:ptCount val="11"/>
                <c:pt idx="0">
                  <c:v>13424.656424957055</c:v>
                </c:pt>
                <c:pt idx="1">
                  <c:v>16819.427132894623</c:v>
                </c:pt>
                <c:pt idx="2">
                  <c:v>14566.752864184517</c:v>
                </c:pt>
                <c:pt idx="3">
                  <c:v>39951.710937728298</c:v>
                </c:pt>
                <c:pt idx="4">
                  <c:v>27107.727887393197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E4-4C89-841A-204C0B69E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2640"/>
        <c:axId val="710162240"/>
      </c:scatterChart>
      <c:valAx>
        <c:axId val="710152640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Tiempo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62240"/>
        <c:crosses val="autoZero"/>
        <c:crossBetween val="midCat"/>
        <c:majorUnit val="30"/>
        <c:minorUnit val="5"/>
      </c:valAx>
      <c:valAx>
        <c:axId val="71016224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000" b="1" i="0" u="none" strike="noStrike" baseline="0">
                    <a:effectLst/>
                  </a:rPr>
                  <a:t>m</a:t>
                </a:r>
                <a:r>
                  <a:rPr lang="es-ES" sz="1000" b="1" i="0" u="none" strike="noStrike" baseline="-25000">
                    <a:effectLst/>
                  </a:rPr>
                  <a:t>Pi</a:t>
                </a:r>
                <a:r>
                  <a:rPr lang="es-ES" sz="1000" b="1" i="0" u="none" strike="noStrike" baseline="0">
                    <a:effectLst/>
                  </a:rPr>
                  <a:t>/OD</a:t>
                </a:r>
                <a:r>
                  <a:rPr lang="es-ES" sz="1000" b="1" i="0" u="none" strike="noStrike" baseline="30000">
                    <a:effectLst/>
                  </a:rPr>
                  <a:t>600</a:t>
                </a:r>
                <a:r>
                  <a:rPr lang="es-ES" sz="1000" b="1" i="0" u="none" strike="noStrike" baseline="0">
                    <a:effectLst/>
                  </a:rPr>
                  <a:t> (ng/u.a.)</a:t>
                </a:r>
                <a:r>
                  <a:rPr lang="es-ES" sz="1000" b="1" i="0" u="none" strike="noStrike" baseline="0"/>
                  <a:t> 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0152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13" Type="http://schemas.openxmlformats.org/officeDocument/2006/relationships/chart" Target="../charts/chart47.xml"/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12" Type="http://schemas.openxmlformats.org/officeDocument/2006/relationships/chart" Target="../charts/chart46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11" Type="http://schemas.openxmlformats.org/officeDocument/2006/relationships/chart" Target="../charts/chart45.xml"/><Relationship Id="rId5" Type="http://schemas.openxmlformats.org/officeDocument/2006/relationships/chart" Target="../charts/chart39.xml"/><Relationship Id="rId15" Type="http://schemas.openxmlformats.org/officeDocument/2006/relationships/chart" Target="../charts/chart49.xml"/><Relationship Id="rId10" Type="http://schemas.openxmlformats.org/officeDocument/2006/relationships/chart" Target="../charts/chart44.xml"/><Relationship Id="rId4" Type="http://schemas.openxmlformats.org/officeDocument/2006/relationships/chart" Target="../charts/chart38.xml"/><Relationship Id="rId9" Type="http://schemas.openxmlformats.org/officeDocument/2006/relationships/chart" Target="../charts/chart43.xml"/><Relationship Id="rId1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35</xdr:row>
      <xdr:rowOff>0</xdr:rowOff>
    </xdr:from>
    <xdr:to>
      <xdr:col>10</xdr:col>
      <xdr:colOff>1041464</xdr:colOff>
      <xdr:row>47</xdr:row>
      <xdr:rowOff>30481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52AD91-80DF-4696-9422-CCD948030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14</xdr:col>
      <xdr:colOff>1041464</xdr:colOff>
      <xdr:row>47</xdr:row>
      <xdr:rowOff>30481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EFF449-4F29-41D6-8209-D306C142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18</xdr:col>
      <xdr:colOff>1041464</xdr:colOff>
      <xdr:row>47</xdr:row>
      <xdr:rowOff>30481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051057-4C45-45CF-87CE-D183166DD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22</xdr:col>
      <xdr:colOff>1041464</xdr:colOff>
      <xdr:row>47</xdr:row>
      <xdr:rowOff>30481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DE26F3-23C6-47FA-A498-3963E8554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35</xdr:row>
      <xdr:rowOff>0</xdr:rowOff>
    </xdr:from>
    <xdr:to>
      <xdr:col>26</xdr:col>
      <xdr:colOff>1041464</xdr:colOff>
      <xdr:row>47</xdr:row>
      <xdr:rowOff>30481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60A66F2-1D08-419C-9719-765EF4D4C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30</xdr:col>
      <xdr:colOff>1041464</xdr:colOff>
      <xdr:row>47</xdr:row>
      <xdr:rowOff>30481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CE2E014-55D1-4FC9-9120-F8F27D8EA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35</xdr:row>
      <xdr:rowOff>0</xdr:rowOff>
    </xdr:from>
    <xdr:to>
      <xdr:col>34</xdr:col>
      <xdr:colOff>1041464</xdr:colOff>
      <xdr:row>47</xdr:row>
      <xdr:rowOff>30481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FCF69CD-B388-43EE-940D-56BE07B05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0</xdr:colOff>
      <xdr:row>35</xdr:row>
      <xdr:rowOff>0</xdr:rowOff>
    </xdr:from>
    <xdr:to>
      <xdr:col>38</xdr:col>
      <xdr:colOff>1041464</xdr:colOff>
      <xdr:row>47</xdr:row>
      <xdr:rowOff>30481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6CDDE24-9EA7-4ACD-BC7F-36923CD49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0</xdr:colOff>
      <xdr:row>35</xdr:row>
      <xdr:rowOff>0</xdr:rowOff>
    </xdr:from>
    <xdr:to>
      <xdr:col>42</xdr:col>
      <xdr:colOff>1041464</xdr:colOff>
      <xdr:row>47</xdr:row>
      <xdr:rowOff>30481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936047D-C448-4170-AF72-94A300DE1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0</xdr:colOff>
      <xdr:row>35</xdr:row>
      <xdr:rowOff>0</xdr:rowOff>
    </xdr:from>
    <xdr:to>
      <xdr:col>46</xdr:col>
      <xdr:colOff>1041464</xdr:colOff>
      <xdr:row>47</xdr:row>
      <xdr:rowOff>30481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3911D4F-8C4D-42A6-A965-4A8CEF518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0</xdr:colOff>
      <xdr:row>3</xdr:row>
      <xdr:rowOff>198292</xdr:rowOff>
    </xdr:from>
    <xdr:to>
      <xdr:col>62</xdr:col>
      <xdr:colOff>24000</xdr:colOff>
      <xdr:row>42</xdr:row>
      <xdr:rowOff>51701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DAD183-3E6F-4D02-83A9-9DABB6C2A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564776</xdr:colOff>
      <xdr:row>30</xdr:row>
      <xdr:rowOff>116542</xdr:rowOff>
    </xdr:from>
    <xdr:to>
      <xdr:col>5</xdr:col>
      <xdr:colOff>234640</xdr:colOff>
      <xdr:row>42</xdr:row>
      <xdr:rowOff>138057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F4FB6C-14D4-4105-80CA-00C2C70A8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598170</xdr:colOff>
      <xdr:row>1</xdr:row>
      <xdr:rowOff>174307</xdr:rowOff>
    </xdr:from>
    <xdr:to>
      <xdr:col>10</xdr:col>
      <xdr:colOff>293370</xdr:colOff>
      <xdr:row>16</xdr:row>
      <xdr:rowOff>67627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60B064-6949-F252-D258-DFC8EDCB4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</xdr:colOff>
      <xdr:row>4</xdr:row>
      <xdr:rowOff>173355</xdr:rowOff>
    </xdr:from>
    <xdr:to>
      <xdr:col>15</xdr:col>
      <xdr:colOff>321945</xdr:colOff>
      <xdr:row>19</xdr:row>
      <xdr:rowOff>59055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77015308-9CD4-7239-1DC7-063D40E78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-133350</xdr:colOff>
      <xdr:row>0</xdr:row>
      <xdr:rowOff>-190500</xdr:rowOff>
    </xdr:from>
    <xdr:to>
      <xdr:col>0</xdr:col>
      <xdr:colOff>-133350</xdr:colOff>
      <xdr:row>0</xdr:row>
      <xdr:rowOff>-190500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A6DA35-2EFB-C125-4409-6283DB234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330200</xdr:colOff>
      <xdr:row>11</xdr:row>
      <xdr:rowOff>165100</xdr:rowOff>
    </xdr:from>
    <xdr:to>
      <xdr:col>13</xdr:col>
      <xdr:colOff>25400</xdr:colOff>
      <xdr:row>26</xdr:row>
      <xdr:rowOff>50800</xdr:rowOff>
    </xdr:to>
    <xdr:graphicFrame macro="">
      <xdr:nvGraphicFramePr>
        <xdr:cNvPr id="32" name="Gráfico 2">
          <a:extLst>
            <a:ext uri="{FF2B5EF4-FFF2-40B4-BE49-F238E27FC236}">
              <a16:creationId xmlns:a16="http://schemas.microsoft.com/office/drawing/2014/main" id="{D843EE72-9197-B06E-5535-A8A685DA4459}"/>
            </a:ext>
            <a:ext uri="{147F2762-F138-4A5C-976F-8EAC2B608ADB}">
              <a16:predDERef xmlns:a16="http://schemas.microsoft.com/office/drawing/2014/main" pred="{09A6DA35-2EFB-C125-4409-6283DB234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11</xdr:row>
      <xdr:rowOff>161925</xdr:rowOff>
    </xdr:from>
    <xdr:to>
      <xdr:col>6</xdr:col>
      <xdr:colOff>295275</xdr:colOff>
      <xdr:row>26</xdr:row>
      <xdr:rowOff>47625</xdr:rowOff>
    </xdr:to>
    <xdr:graphicFrame macro="">
      <xdr:nvGraphicFramePr>
        <xdr:cNvPr id="5" name="Gráfico 32">
          <a:extLst>
            <a:ext uri="{FF2B5EF4-FFF2-40B4-BE49-F238E27FC236}">
              <a16:creationId xmlns:a16="http://schemas.microsoft.com/office/drawing/2014/main" id="{FFD364F4-4FD0-49A6-8B0F-DA1535524FA2}"/>
            </a:ext>
            <a:ext uri="{147F2762-F138-4A5C-976F-8EAC2B608ADB}">
              <a16:predDERef xmlns:a16="http://schemas.microsoft.com/office/drawing/2014/main" pred="{D843EE72-9197-B06E-5535-A8A685DA4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392430</xdr:colOff>
      <xdr:row>12</xdr:row>
      <xdr:rowOff>152400</xdr:rowOff>
    </xdr:from>
    <xdr:to>
      <xdr:col>19</xdr:col>
      <xdr:colOff>121920</xdr:colOff>
      <xdr:row>27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04A21F-123A-BD26-D357-936FABE58AEC}"/>
            </a:ext>
            <a:ext uri="{147F2762-F138-4A5C-976F-8EAC2B608ADB}">
              <a16:predDERef xmlns:a16="http://schemas.microsoft.com/office/drawing/2014/main" pred="{FFD364F4-4FD0-49A6-8B0F-DA1535524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35</xdr:row>
      <xdr:rowOff>0</xdr:rowOff>
    </xdr:from>
    <xdr:to>
      <xdr:col>10</xdr:col>
      <xdr:colOff>1041464</xdr:colOff>
      <xdr:row>47</xdr:row>
      <xdr:rowOff>30481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AE3034-30D0-4102-9E92-272CA701D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14</xdr:col>
      <xdr:colOff>1041464</xdr:colOff>
      <xdr:row>47</xdr:row>
      <xdr:rowOff>30481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FCE0B0-8B31-40D9-BB83-3A6B76803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18</xdr:col>
      <xdr:colOff>1041464</xdr:colOff>
      <xdr:row>47</xdr:row>
      <xdr:rowOff>30481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EFB052-1603-418E-ADA7-140B4F1BC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0</xdr:colOff>
      <xdr:row>3</xdr:row>
      <xdr:rowOff>198292</xdr:rowOff>
    </xdr:from>
    <xdr:to>
      <xdr:col>62</xdr:col>
      <xdr:colOff>24000</xdr:colOff>
      <xdr:row>42</xdr:row>
      <xdr:rowOff>51701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A3059E-0B44-401A-990D-15A5A3142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35</xdr:row>
      <xdr:rowOff>0</xdr:rowOff>
    </xdr:from>
    <xdr:to>
      <xdr:col>10</xdr:col>
      <xdr:colOff>1041464</xdr:colOff>
      <xdr:row>47</xdr:row>
      <xdr:rowOff>30481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8F2912-3EC9-472F-BE79-A274A5889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14</xdr:col>
      <xdr:colOff>1041464</xdr:colOff>
      <xdr:row>47</xdr:row>
      <xdr:rowOff>30481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A87894-6417-43CD-A58F-BEB96F95C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18</xdr:col>
      <xdr:colOff>1041464</xdr:colOff>
      <xdr:row>47</xdr:row>
      <xdr:rowOff>30481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037BF2-4451-490C-B34F-9CA3733A7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22</xdr:col>
      <xdr:colOff>1041464</xdr:colOff>
      <xdr:row>47</xdr:row>
      <xdr:rowOff>30481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11F68-2DE7-4A74-BF82-05D5F3BE5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35</xdr:row>
      <xdr:rowOff>0</xdr:rowOff>
    </xdr:from>
    <xdr:to>
      <xdr:col>26</xdr:col>
      <xdr:colOff>1041464</xdr:colOff>
      <xdr:row>47</xdr:row>
      <xdr:rowOff>30481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5BE8261-6904-4C79-B97C-331E4E33B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30</xdr:col>
      <xdr:colOff>1041464</xdr:colOff>
      <xdr:row>47</xdr:row>
      <xdr:rowOff>30481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78DB0CB-D8CE-43FF-8E33-2930D5C01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35</xdr:row>
      <xdr:rowOff>0</xdr:rowOff>
    </xdr:from>
    <xdr:to>
      <xdr:col>34</xdr:col>
      <xdr:colOff>1041464</xdr:colOff>
      <xdr:row>47</xdr:row>
      <xdr:rowOff>30481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784EFB6-320E-4025-955E-A9ED4C50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0</xdr:colOff>
      <xdr:row>35</xdr:row>
      <xdr:rowOff>0</xdr:rowOff>
    </xdr:from>
    <xdr:to>
      <xdr:col>38</xdr:col>
      <xdr:colOff>1041464</xdr:colOff>
      <xdr:row>47</xdr:row>
      <xdr:rowOff>30481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F5CF4E7-0D94-43A3-90DE-76EA59585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0</xdr:colOff>
      <xdr:row>35</xdr:row>
      <xdr:rowOff>0</xdr:rowOff>
    </xdr:from>
    <xdr:to>
      <xdr:col>42</xdr:col>
      <xdr:colOff>1041464</xdr:colOff>
      <xdr:row>47</xdr:row>
      <xdr:rowOff>30481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2F9C74E-632A-4D71-A974-F81A9F50D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0</xdr:colOff>
      <xdr:row>35</xdr:row>
      <xdr:rowOff>0</xdr:rowOff>
    </xdr:from>
    <xdr:to>
      <xdr:col>46</xdr:col>
      <xdr:colOff>1041464</xdr:colOff>
      <xdr:row>47</xdr:row>
      <xdr:rowOff>30481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2545C07-FBCF-4517-9D3D-A479D011B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0</xdr:colOff>
      <xdr:row>3</xdr:row>
      <xdr:rowOff>198292</xdr:rowOff>
    </xdr:from>
    <xdr:to>
      <xdr:col>62</xdr:col>
      <xdr:colOff>24000</xdr:colOff>
      <xdr:row>42</xdr:row>
      <xdr:rowOff>51701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EBF12CA-069A-448B-B56F-3FB8F4F1A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564776</xdr:colOff>
      <xdr:row>30</xdr:row>
      <xdr:rowOff>116542</xdr:rowOff>
    </xdr:from>
    <xdr:to>
      <xdr:col>5</xdr:col>
      <xdr:colOff>234640</xdr:colOff>
      <xdr:row>42</xdr:row>
      <xdr:rowOff>138057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3BB1416-833B-4BA1-B779-67EF8E07F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35</xdr:row>
      <xdr:rowOff>0</xdr:rowOff>
    </xdr:from>
    <xdr:to>
      <xdr:col>10</xdr:col>
      <xdr:colOff>1041464</xdr:colOff>
      <xdr:row>47</xdr:row>
      <xdr:rowOff>30481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09335B-A2CA-4672-AF38-51FE2C797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14</xdr:col>
      <xdr:colOff>1041464</xdr:colOff>
      <xdr:row>47</xdr:row>
      <xdr:rowOff>30481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0DD188-53B0-4111-8C8F-0DE13B23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18</xdr:col>
      <xdr:colOff>1041464</xdr:colOff>
      <xdr:row>47</xdr:row>
      <xdr:rowOff>30481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5647C7-F5EB-459F-AB7C-2A1DCD57B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35</xdr:row>
      <xdr:rowOff>0</xdr:rowOff>
    </xdr:from>
    <xdr:to>
      <xdr:col>22</xdr:col>
      <xdr:colOff>1041464</xdr:colOff>
      <xdr:row>47</xdr:row>
      <xdr:rowOff>30481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468D60E-9AB7-4C61-AA26-0FE17A634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35</xdr:row>
      <xdr:rowOff>0</xdr:rowOff>
    </xdr:from>
    <xdr:to>
      <xdr:col>26</xdr:col>
      <xdr:colOff>1041464</xdr:colOff>
      <xdr:row>47</xdr:row>
      <xdr:rowOff>30481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D1ADD8-D830-4B16-A096-6FBB4C40C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30</xdr:col>
      <xdr:colOff>1041464</xdr:colOff>
      <xdr:row>47</xdr:row>
      <xdr:rowOff>30481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6F78351-3762-4403-8A54-9898DC311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564776</xdr:colOff>
      <xdr:row>30</xdr:row>
      <xdr:rowOff>116542</xdr:rowOff>
    </xdr:from>
    <xdr:to>
      <xdr:col>5</xdr:col>
      <xdr:colOff>234640</xdr:colOff>
      <xdr:row>42</xdr:row>
      <xdr:rowOff>138057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5BDA36D-CB35-47BE-835F-8A9DD6748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10</xdr:col>
      <xdr:colOff>1041464</xdr:colOff>
      <xdr:row>34</xdr:row>
      <xdr:rowOff>19595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5D9069C-5D12-42C5-8F18-46959AEBD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14</xdr:col>
      <xdr:colOff>1041464</xdr:colOff>
      <xdr:row>34</xdr:row>
      <xdr:rowOff>19595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599114A-595A-4918-A4ED-D559E7A5B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18</xdr:col>
      <xdr:colOff>1041464</xdr:colOff>
      <xdr:row>34</xdr:row>
      <xdr:rowOff>19595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9368A73-F468-46CA-A7C2-260FF1859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22</xdr:col>
      <xdr:colOff>1041464</xdr:colOff>
      <xdr:row>34</xdr:row>
      <xdr:rowOff>19595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59E71E4-EFD0-4552-BAE6-D108FCD0F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26</xdr:col>
      <xdr:colOff>1041464</xdr:colOff>
      <xdr:row>34</xdr:row>
      <xdr:rowOff>19595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D04981A-E887-4D88-8F16-9F2E5FBCA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30</xdr:col>
      <xdr:colOff>1041464</xdr:colOff>
      <xdr:row>34</xdr:row>
      <xdr:rowOff>19595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6B405B1-201B-4D29-8C00-082432B86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97972</xdr:colOff>
      <xdr:row>5</xdr:row>
      <xdr:rowOff>195943</xdr:rowOff>
    </xdr:from>
    <xdr:to>
      <xdr:col>44</xdr:col>
      <xdr:colOff>335332</xdr:colOff>
      <xdr:row>44</xdr:row>
      <xdr:rowOff>80921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140547A-0EBE-4BA4-B861-F19A13A2F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4</xdr:row>
      <xdr:rowOff>0</xdr:rowOff>
    </xdr:from>
    <xdr:to>
      <xdr:col>58</xdr:col>
      <xdr:colOff>161161</xdr:colOff>
      <xdr:row>42</xdr:row>
      <xdr:rowOff>59149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2BF11A2-5D27-4212-B9F7-ABF4BBB42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rePhlow">
      <a:dk1>
        <a:sysClr val="windowText" lastClr="000000"/>
      </a:dk1>
      <a:lt1>
        <a:sysClr val="window" lastClr="FFFFFF"/>
      </a:lt1>
      <a:dk2>
        <a:srgbClr val="314F65"/>
      </a:dk2>
      <a:lt2>
        <a:srgbClr val="E8E8E8"/>
      </a:lt2>
      <a:accent1>
        <a:srgbClr val="314F65"/>
      </a:accent1>
      <a:accent2>
        <a:srgbClr val="9CC66F"/>
      </a:accent2>
      <a:accent3>
        <a:srgbClr val="9CD3FC"/>
      </a:accent3>
      <a:accent4>
        <a:srgbClr val="6BA23A"/>
      </a:accent4>
      <a:accent5>
        <a:srgbClr val="6492B4"/>
      </a:accent5>
      <a:accent6>
        <a:srgbClr val="425D25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2D4F-735D-47DE-AA3B-90AC11F0D007}">
  <dimension ref="B4:AU70"/>
  <sheetViews>
    <sheetView topLeftCell="A20" zoomScale="85" zoomScaleNormal="85" workbookViewId="0">
      <selection activeCell="F33" sqref="F33"/>
    </sheetView>
  </sheetViews>
  <sheetFormatPr defaultColWidth="11.42578125" defaultRowHeight="14.45"/>
  <cols>
    <col min="2" max="2" width="7.7109375" bestFit="1" customWidth="1"/>
    <col min="3" max="3" width="9.5703125" bestFit="1" customWidth="1"/>
    <col min="4" max="4" width="10.85546875" bestFit="1" customWidth="1"/>
    <col min="5" max="5" width="15.5703125" bestFit="1" customWidth="1"/>
    <col min="7" max="7" width="12.42578125" bestFit="1" customWidth="1"/>
    <col min="8" max="8" width="11.140625" bestFit="1" customWidth="1"/>
    <col min="9" max="9" width="9.5703125" bestFit="1" customWidth="1"/>
    <col min="10" max="10" width="14.5703125" bestFit="1" customWidth="1"/>
    <col min="11" max="11" width="17.5703125" bestFit="1" customWidth="1"/>
    <col min="12" max="12" width="11.140625" bestFit="1" customWidth="1"/>
    <col min="13" max="13" width="9.5703125" bestFit="1" customWidth="1"/>
    <col min="14" max="14" width="14.5703125" bestFit="1" customWidth="1"/>
    <col min="15" max="15" width="17.5703125" bestFit="1" customWidth="1"/>
    <col min="16" max="16" width="11.140625" bestFit="1" customWidth="1"/>
    <col min="17" max="17" width="9.5703125" bestFit="1" customWidth="1"/>
    <col min="18" max="18" width="14.5703125" bestFit="1" customWidth="1"/>
    <col min="19" max="19" width="17.5703125" bestFit="1" customWidth="1"/>
    <col min="20" max="20" width="11.140625" bestFit="1" customWidth="1"/>
    <col min="21" max="21" width="9.5703125" bestFit="1" customWidth="1"/>
    <col min="22" max="22" width="14.5703125" bestFit="1" customWidth="1"/>
    <col min="23" max="23" width="17.5703125" bestFit="1" customWidth="1"/>
    <col min="24" max="24" width="11.140625" bestFit="1" customWidth="1"/>
    <col min="25" max="25" width="9.5703125" bestFit="1" customWidth="1"/>
    <col min="26" max="26" width="14.5703125" bestFit="1" customWidth="1"/>
    <col min="27" max="27" width="17.5703125" bestFit="1" customWidth="1"/>
    <col min="28" max="28" width="11.140625" bestFit="1" customWidth="1"/>
    <col min="29" max="29" width="9.5703125" bestFit="1" customWidth="1"/>
    <col min="30" max="30" width="14.5703125" bestFit="1" customWidth="1"/>
    <col min="31" max="31" width="17.5703125" bestFit="1" customWidth="1"/>
    <col min="32" max="32" width="11.140625" bestFit="1" customWidth="1"/>
    <col min="33" max="33" width="9.5703125" bestFit="1" customWidth="1"/>
    <col min="34" max="34" width="14.5703125" bestFit="1" customWidth="1"/>
    <col min="35" max="35" width="17.5703125" bestFit="1" customWidth="1"/>
    <col min="36" max="36" width="11.140625" bestFit="1" customWidth="1"/>
    <col min="37" max="37" width="9.5703125" bestFit="1" customWidth="1"/>
    <col min="38" max="38" width="14.5703125" bestFit="1" customWidth="1"/>
    <col min="39" max="39" width="17.5703125" bestFit="1" customWidth="1"/>
    <col min="40" max="40" width="11.140625" bestFit="1" customWidth="1"/>
    <col min="41" max="41" width="9.5703125" bestFit="1" customWidth="1"/>
    <col min="42" max="42" width="14.5703125" bestFit="1" customWidth="1"/>
    <col min="43" max="43" width="17.5703125" bestFit="1" customWidth="1"/>
    <col min="44" max="44" width="11.140625" bestFit="1" customWidth="1"/>
    <col min="45" max="45" width="9.5703125" bestFit="1" customWidth="1"/>
    <col min="46" max="46" width="14.5703125" bestFit="1" customWidth="1"/>
    <col min="47" max="47" width="17.5703125" bestFit="1" customWidth="1"/>
  </cols>
  <sheetData>
    <row r="4" spans="2:47" ht="15" thickBot="1"/>
    <row r="5" spans="2:47" ht="15" thickBot="1">
      <c r="B5" s="100" t="s">
        <v>0</v>
      </c>
      <c r="C5" s="101"/>
      <c r="D5" s="101"/>
      <c r="E5" s="102"/>
      <c r="F5" s="19"/>
      <c r="G5" s="19"/>
      <c r="H5" s="103" t="s">
        <v>1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5"/>
    </row>
    <row r="6" spans="2:47" ht="16.899999999999999" thickBot="1">
      <c r="B6" s="20" t="s">
        <v>2</v>
      </c>
      <c r="C6" s="21" t="s">
        <v>3</v>
      </c>
      <c r="D6" s="17" t="s">
        <v>4</v>
      </c>
      <c r="E6" s="18" t="s">
        <v>5</v>
      </c>
      <c r="F6" s="19"/>
      <c r="G6" s="19"/>
      <c r="H6" s="76" t="s">
        <v>6</v>
      </c>
      <c r="I6" s="77"/>
      <c r="J6" s="77"/>
      <c r="K6" s="78"/>
      <c r="L6" s="79" t="s">
        <v>7</v>
      </c>
      <c r="M6" s="80"/>
      <c r="N6" s="80"/>
      <c r="O6" s="81"/>
      <c r="P6" s="82" t="s">
        <v>8</v>
      </c>
      <c r="Q6" s="83"/>
      <c r="R6" s="83"/>
      <c r="S6" s="84"/>
      <c r="T6" s="85" t="s">
        <v>9</v>
      </c>
      <c r="U6" s="86"/>
      <c r="V6" s="86"/>
      <c r="W6" s="87"/>
      <c r="X6" s="88" t="s">
        <v>10</v>
      </c>
      <c r="Y6" s="89"/>
      <c r="Z6" s="89"/>
      <c r="AA6" s="90"/>
      <c r="AB6" s="91" t="s">
        <v>11</v>
      </c>
      <c r="AC6" s="92"/>
      <c r="AD6" s="92"/>
      <c r="AE6" s="93"/>
      <c r="AF6" s="94" t="s">
        <v>12</v>
      </c>
      <c r="AG6" s="95"/>
      <c r="AH6" s="95"/>
      <c r="AI6" s="96"/>
      <c r="AJ6" s="97" t="s">
        <v>13</v>
      </c>
      <c r="AK6" s="98"/>
      <c r="AL6" s="98"/>
      <c r="AM6" s="99"/>
      <c r="AN6" s="70" t="s">
        <v>14</v>
      </c>
      <c r="AO6" s="71"/>
      <c r="AP6" s="71"/>
      <c r="AQ6" s="72"/>
      <c r="AR6" s="73" t="s">
        <v>15</v>
      </c>
      <c r="AS6" s="74"/>
      <c r="AT6" s="74"/>
      <c r="AU6" s="75"/>
    </row>
    <row r="7" spans="2:47" ht="16.899999999999999" thickBot="1">
      <c r="B7" s="22">
        <v>0</v>
      </c>
      <c r="C7" s="23"/>
      <c r="D7" s="24"/>
      <c r="E7" s="25">
        <f>(C7+D7)/2</f>
        <v>0</v>
      </c>
      <c r="F7" s="19"/>
      <c r="G7" s="20" t="s">
        <v>16</v>
      </c>
      <c r="H7" s="16" t="s">
        <v>17</v>
      </c>
      <c r="I7" s="17" t="s">
        <v>3</v>
      </c>
      <c r="J7" s="17" t="s">
        <v>4</v>
      </c>
      <c r="K7" s="18" t="s">
        <v>5</v>
      </c>
      <c r="L7" s="21" t="s">
        <v>17</v>
      </c>
      <c r="M7" s="17" t="s">
        <v>3</v>
      </c>
      <c r="N7" s="17" t="s">
        <v>4</v>
      </c>
      <c r="O7" s="18" t="s">
        <v>5</v>
      </c>
      <c r="P7" s="16" t="s">
        <v>17</v>
      </c>
      <c r="Q7" s="17" t="s">
        <v>3</v>
      </c>
      <c r="R7" s="17" t="s">
        <v>4</v>
      </c>
      <c r="S7" s="18" t="s">
        <v>5</v>
      </c>
      <c r="T7" s="21" t="s">
        <v>17</v>
      </c>
      <c r="U7" s="17" t="s">
        <v>3</v>
      </c>
      <c r="V7" s="17" t="s">
        <v>4</v>
      </c>
      <c r="W7" s="18" t="s">
        <v>5</v>
      </c>
      <c r="X7" s="16" t="s">
        <v>17</v>
      </c>
      <c r="Y7" s="17" t="s">
        <v>3</v>
      </c>
      <c r="Z7" s="17" t="s">
        <v>4</v>
      </c>
      <c r="AA7" s="18" t="s">
        <v>5</v>
      </c>
      <c r="AB7" s="21" t="s">
        <v>17</v>
      </c>
      <c r="AC7" s="17" t="s">
        <v>3</v>
      </c>
      <c r="AD7" s="17" t="s">
        <v>4</v>
      </c>
      <c r="AE7" s="18" t="s">
        <v>5</v>
      </c>
      <c r="AF7" s="16" t="s">
        <v>17</v>
      </c>
      <c r="AG7" s="17" t="s">
        <v>3</v>
      </c>
      <c r="AH7" s="17" t="s">
        <v>4</v>
      </c>
      <c r="AI7" s="18" t="s">
        <v>5</v>
      </c>
      <c r="AJ7" s="21" t="s">
        <v>17</v>
      </c>
      <c r="AK7" s="17" t="s">
        <v>3</v>
      </c>
      <c r="AL7" s="17" t="s">
        <v>4</v>
      </c>
      <c r="AM7" s="18" t="s">
        <v>5</v>
      </c>
      <c r="AN7" s="16" t="s">
        <v>17</v>
      </c>
      <c r="AO7" s="17" t="s">
        <v>3</v>
      </c>
      <c r="AP7" s="17" t="s">
        <v>4</v>
      </c>
      <c r="AQ7" s="18" t="s">
        <v>5</v>
      </c>
      <c r="AR7" s="21" t="s">
        <v>17</v>
      </c>
      <c r="AS7" s="17" t="s">
        <v>3</v>
      </c>
      <c r="AT7" s="17" t="s">
        <v>4</v>
      </c>
      <c r="AU7" s="18" t="s">
        <v>5</v>
      </c>
    </row>
    <row r="8" spans="2:47">
      <c r="B8" s="26">
        <v>25</v>
      </c>
      <c r="C8" s="27"/>
      <c r="D8" s="28"/>
      <c r="E8" s="29">
        <f t="shared" ref="E8:E15" si="0">(C8+D8)/2</f>
        <v>0</v>
      </c>
      <c r="F8" s="19"/>
      <c r="G8" s="10">
        <v>0</v>
      </c>
      <c r="H8" s="30"/>
      <c r="I8" s="24"/>
      <c r="J8" s="24"/>
      <c r="K8" s="25">
        <f>(I8+J8)/2</f>
        <v>0</v>
      </c>
      <c r="L8" s="23"/>
      <c r="M8" s="24"/>
      <c r="N8" s="24"/>
      <c r="O8" s="25">
        <f>(M8+N8)/2</f>
        <v>0</v>
      </c>
      <c r="P8" s="30"/>
      <c r="Q8" s="24"/>
      <c r="R8" s="24"/>
      <c r="S8" s="25">
        <f t="shared" ref="S8:S18" si="1">(Q8+R8)/2</f>
        <v>0</v>
      </c>
      <c r="T8" s="23"/>
      <c r="U8" s="24"/>
      <c r="V8" s="24"/>
      <c r="W8" s="25">
        <f t="shared" ref="W8:W18" si="2">(U8+V8)/2</f>
        <v>0</v>
      </c>
      <c r="X8" s="30"/>
      <c r="Y8" s="24"/>
      <c r="Z8" s="24"/>
      <c r="AA8" s="25">
        <f t="shared" ref="AA8:AA18" si="3">(Y8+Z8)/2</f>
        <v>0</v>
      </c>
      <c r="AB8" s="23"/>
      <c r="AC8" s="24"/>
      <c r="AD8" s="24"/>
      <c r="AE8" s="25">
        <f>(AC8+AD8)/2</f>
        <v>0</v>
      </c>
      <c r="AF8" s="30"/>
      <c r="AG8" s="24"/>
      <c r="AH8" s="24"/>
      <c r="AI8" s="25">
        <f>(AG8+AH8)/2</f>
        <v>0</v>
      </c>
      <c r="AJ8" s="23"/>
      <c r="AK8" s="24"/>
      <c r="AL8" s="24"/>
      <c r="AM8" s="25">
        <f>(AK8+AL8)/2</f>
        <v>0</v>
      </c>
      <c r="AN8" s="30"/>
      <c r="AO8" s="24"/>
      <c r="AP8" s="24"/>
      <c r="AQ8" s="25">
        <f>(AO8+AP8)/2</f>
        <v>0</v>
      </c>
      <c r="AR8" s="23"/>
      <c r="AS8" s="24"/>
      <c r="AT8" s="24"/>
      <c r="AU8" s="25">
        <f>(AS8+AT8)/2</f>
        <v>0</v>
      </c>
    </row>
    <row r="9" spans="2:47">
      <c r="B9" s="26">
        <v>50</v>
      </c>
      <c r="C9" s="27"/>
      <c r="D9" s="28"/>
      <c r="E9" s="29">
        <f t="shared" si="0"/>
        <v>0</v>
      </c>
      <c r="F9" s="19"/>
      <c r="G9" s="11">
        <v>10</v>
      </c>
      <c r="H9" s="31"/>
      <c r="I9" s="28"/>
      <c r="J9" s="28"/>
      <c r="K9" s="29">
        <f t="shared" ref="K9:K18" si="4">(I9+J9)/2</f>
        <v>0</v>
      </c>
      <c r="L9" s="27"/>
      <c r="M9" s="28"/>
      <c r="N9" s="28"/>
      <c r="O9" s="29">
        <f t="shared" ref="O9:O18" si="5">(M9+N9)/2</f>
        <v>0</v>
      </c>
      <c r="P9" s="31"/>
      <c r="Q9" s="28"/>
      <c r="R9" s="28"/>
      <c r="S9" s="29">
        <f t="shared" si="1"/>
        <v>0</v>
      </c>
      <c r="T9" s="27"/>
      <c r="U9" s="28"/>
      <c r="V9" s="28"/>
      <c r="W9" s="29">
        <f t="shared" si="2"/>
        <v>0</v>
      </c>
      <c r="X9" s="31"/>
      <c r="Y9" s="28"/>
      <c r="Z9" s="28"/>
      <c r="AA9" s="29">
        <f t="shared" si="3"/>
        <v>0</v>
      </c>
      <c r="AB9" s="27"/>
      <c r="AC9" s="28"/>
      <c r="AD9" s="28"/>
      <c r="AE9" s="29">
        <f t="shared" ref="AE9:AE18" si="6">(AC9+AD9)/2</f>
        <v>0</v>
      </c>
      <c r="AF9" s="31"/>
      <c r="AG9" s="28"/>
      <c r="AH9" s="28"/>
      <c r="AI9" s="29">
        <f t="shared" ref="AI9:AI18" si="7">(AG9+AH9)/2</f>
        <v>0</v>
      </c>
      <c r="AJ9" s="27"/>
      <c r="AK9" s="28"/>
      <c r="AL9" s="28"/>
      <c r="AM9" s="29">
        <f t="shared" ref="AM9:AM18" si="8">(AK9+AL9)/2</f>
        <v>0</v>
      </c>
      <c r="AN9" s="31"/>
      <c r="AO9" s="28"/>
      <c r="AP9" s="28"/>
      <c r="AQ9" s="29">
        <f t="shared" ref="AQ9:AQ18" si="9">(AO9+AP9)/2</f>
        <v>0</v>
      </c>
      <c r="AR9" s="27"/>
      <c r="AS9" s="28"/>
      <c r="AT9" s="28"/>
      <c r="AU9" s="29">
        <f t="shared" ref="AU9:AU18" si="10">(AS9+AT9)/2</f>
        <v>0</v>
      </c>
    </row>
    <row r="10" spans="2:47">
      <c r="B10" s="26">
        <v>100</v>
      </c>
      <c r="C10" s="27"/>
      <c r="D10" s="28"/>
      <c r="E10" s="29">
        <f t="shared" si="0"/>
        <v>0</v>
      </c>
      <c r="F10" s="19"/>
      <c r="G10" s="11">
        <v>20</v>
      </c>
      <c r="H10" s="31"/>
      <c r="I10" s="28"/>
      <c r="J10" s="28"/>
      <c r="K10" s="29">
        <f t="shared" si="4"/>
        <v>0</v>
      </c>
      <c r="L10" s="27"/>
      <c r="M10" s="28"/>
      <c r="N10" s="28"/>
      <c r="O10" s="29">
        <f t="shared" si="5"/>
        <v>0</v>
      </c>
      <c r="P10" s="31"/>
      <c r="Q10" s="28"/>
      <c r="R10" s="28"/>
      <c r="S10" s="29">
        <f t="shared" si="1"/>
        <v>0</v>
      </c>
      <c r="T10" s="27"/>
      <c r="U10" s="28"/>
      <c r="V10" s="28"/>
      <c r="W10" s="29">
        <f t="shared" si="2"/>
        <v>0</v>
      </c>
      <c r="X10" s="31"/>
      <c r="Y10" s="28"/>
      <c r="Z10" s="28"/>
      <c r="AA10" s="29">
        <f t="shared" si="3"/>
        <v>0</v>
      </c>
      <c r="AB10" s="27"/>
      <c r="AC10" s="28"/>
      <c r="AD10" s="28"/>
      <c r="AE10" s="29">
        <f t="shared" si="6"/>
        <v>0</v>
      </c>
      <c r="AF10" s="31"/>
      <c r="AG10" s="28"/>
      <c r="AH10" s="28"/>
      <c r="AI10" s="29">
        <f t="shared" si="7"/>
        <v>0</v>
      </c>
      <c r="AJ10" s="27"/>
      <c r="AK10" s="28"/>
      <c r="AL10" s="28"/>
      <c r="AM10" s="29">
        <f t="shared" si="8"/>
        <v>0</v>
      </c>
      <c r="AN10" s="31"/>
      <c r="AO10" s="28"/>
      <c r="AP10" s="28"/>
      <c r="AQ10" s="29">
        <f t="shared" si="9"/>
        <v>0</v>
      </c>
      <c r="AR10" s="27"/>
      <c r="AS10" s="28"/>
      <c r="AT10" s="28"/>
      <c r="AU10" s="29">
        <f t="shared" si="10"/>
        <v>0</v>
      </c>
    </row>
    <row r="11" spans="2:47">
      <c r="B11" s="26">
        <v>200</v>
      </c>
      <c r="C11" s="27"/>
      <c r="D11" s="28"/>
      <c r="E11" s="29">
        <f t="shared" si="0"/>
        <v>0</v>
      </c>
      <c r="F11" s="19"/>
      <c r="G11" s="11">
        <v>30</v>
      </c>
      <c r="H11" s="31"/>
      <c r="I11" s="28"/>
      <c r="J11" s="28"/>
      <c r="K11" s="29">
        <f t="shared" si="4"/>
        <v>0</v>
      </c>
      <c r="L11" s="27"/>
      <c r="M11" s="28"/>
      <c r="N11" s="28"/>
      <c r="O11" s="29">
        <f t="shared" si="5"/>
        <v>0</v>
      </c>
      <c r="P11" s="31"/>
      <c r="Q11" s="28"/>
      <c r="R11" s="28"/>
      <c r="S11" s="29">
        <f t="shared" si="1"/>
        <v>0</v>
      </c>
      <c r="T11" s="27"/>
      <c r="U11" s="28"/>
      <c r="V11" s="28"/>
      <c r="W11" s="29">
        <f t="shared" si="2"/>
        <v>0</v>
      </c>
      <c r="X11" s="31"/>
      <c r="Y11" s="28"/>
      <c r="Z11" s="28"/>
      <c r="AA11" s="29">
        <f t="shared" si="3"/>
        <v>0</v>
      </c>
      <c r="AB11" s="27"/>
      <c r="AC11" s="28"/>
      <c r="AD11" s="28"/>
      <c r="AE11" s="29">
        <f t="shared" si="6"/>
        <v>0</v>
      </c>
      <c r="AF11" s="31"/>
      <c r="AG11" s="28"/>
      <c r="AH11" s="28"/>
      <c r="AI11" s="29">
        <f t="shared" si="7"/>
        <v>0</v>
      </c>
      <c r="AJ11" s="27"/>
      <c r="AK11" s="28"/>
      <c r="AL11" s="28"/>
      <c r="AM11" s="29">
        <f t="shared" si="8"/>
        <v>0</v>
      </c>
      <c r="AN11" s="31"/>
      <c r="AO11" s="28"/>
      <c r="AP11" s="28"/>
      <c r="AQ11" s="29">
        <f t="shared" si="9"/>
        <v>0</v>
      </c>
      <c r="AR11" s="27"/>
      <c r="AS11" s="28"/>
      <c r="AT11" s="28"/>
      <c r="AU11" s="29">
        <f t="shared" si="10"/>
        <v>0</v>
      </c>
    </row>
    <row r="12" spans="2:47">
      <c r="B12" s="26">
        <v>250</v>
      </c>
      <c r="C12" s="27"/>
      <c r="D12" s="28"/>
      <c r="E12" s="29">
        <f t="shared" si="0"/>
        <v>0</v>
      </c>
      <c r="F12" s="19"/>
      <c r="G12" s="11">
        <v>60</v>
      </c>
      <c r="H12" s="31"/>
      <c r="I12" s="28"/>
      <c r="J12" s="28"/>
      <c r="K12" s="29">
        <f t="shared" si="4"/>
        <v>0</v>
      </c>
      <c r="L12" s="27"/>
      <c r="M12" s="28"/>
      <c r="N12" s="28"/>
      <c r="O12" s="29">
        <f t="shared" si="5"/>
        <v>0</v>
      </c>
      <c r="P12" s="31"/>
      <c r="Q12" s="28"/>
      <c r="R12" s="28"/>
      <c r="S12" s="29">
        <f t="shared" si="1"/>
        <v>0</v>
      </c>
      <c r="T12" s="27"/>
      <c r="U12" s="28"/>
      <c r="V12" s="28"/>
      <c r="W12" s="29">
        <f t="shared" si="2"/>
        <v>0</v>
      </c>
      <c r="X12" s="31"/>
      <c r="Y12" s="28"/>
      <c r="Z12" s="28"/>
      <c r="AA12" s="29">
        <f t="shared" si="3"/>
        <v>0</v>
      </c>
      <c r="AB12" s="27"/>
      <c r="AC12" s="28"/>
      <c r="AD12" s="28"/>
      <c r="AE12" s="29">
        <f t="shared" si="6"/>
        <v>0</v>
      </c>
      <c r="AF12" s="31"/>
      <c r="AG12" s="28"/>
      <c r="AH12" s="28"/>
      <c r="AI12" s="29">
        <f t="shared" si="7"/>
        <v>0</v>
      </c>
      <c r="AJ12" s="27"/>
      <c r="AK12" s="28"/>
      <c r="AL12" s="28"/>
      <c r="AM12" s="29">
        <f t="shared" si="8"/>
        <v>0</v>
      </c>
      <c r="AN12" s="31"/>
      <c r="AO12" s="28"/>
      <c r="AP12" s="28"/>
      <c r="AQ12" s="29">
        <f t="shared" si="9"/>
        <v>0</v>
      </c>
      <c r="AR12" s="27"/>
      <c r="AS12" s="28"/>
      <c r="AT12" s="28"/>
      <c r="AU12" s="29">
        <f t="shared" si="10"/>
        <v>0</v>
      </c>
    </row>
    <row r="13" spans="2:47">
      <c r="B13" s="26">
        <v>500</v>
      </c>
      <c r="C13" s="27"/>
      <c r="D13" s="28"/>
      <c r="E13" s="29">
        <f t="shared" si="0"/>
        <v>0</v>
      </c>
      <c r="F13" s="19"/>
      <c r="G13" s="11">
        <v>90</v>
      </c>
      <c r="H13" s="31"/>
      <c r="I13" s="28"/>
      <c r="J13" s="28"/>
      <c r="K13" s="29">
        <f t="shared" si="4"/>
        <v>0</v>
      </c>
      <c r="L13" s="27"/>
      <c r="M13" s="28"/>
      <c r="N13" s="28"/>
      <c r="O13" s="29">
        <f t="shared" si="5"/>
        <v>0</v>
      </c>
      <c r="P13" s="31"/>
      <c r="Q13" s="28"/>
      <c r="R13" s="28"/>
      <c r="S13" s="29">
        <f t="shared" si="1"/>
        <v>0</v>
      </c>
      <c r="T13" s="27"/>
      <c r="U13" s="28"/>
      <c r="V13" s="28"/>
      <c r="W13" s="29">
        <f t="shared" si="2"/>
        <v>0</v>
      </c>
      <c r="X13" s="31"/>
      <c r="Y13" s="28"/>
      <c r="Z13" s="28"/>
      <c r="AA13" s="29">
        <f t="shared" si="3"/>
        <v>0</v>
      </c>
      <c r="AB13" s="27"/>
      <c r="AC13" s="28"/>
      <c r="AD13" s="28"/>
      <c r="AE13" s="29">
        <f t="shared" si="6"/>
        <v>0</v>
      </c>
      <c r="AF13" s="31"/>
      <c r="AG13" s="28"/>
      <c r="AH13" s="28"/>
      <c r="AI13" s="29">
        <f t="shared" si="7"/>
        <v>0</v>
      </c>
      <c r="AJ13" s="27"/>
      <c r="AK13" s="28"/>
      <c r="AL13" s="28"/>
      <c r="AM13" s="29">
        <f t="shared" si="8"/>
        <v>0</v>
      </c>
      <c r="AN13" s="31"/>
      <c r="AO13" s="28"/>
      <c r="AP13" s="28"/>
      <c r="AQ13" s="29">
        <f t="shared" si="9"/>
        <v>0</v>
      </c>
      <c r="AR13" s="27"/>
      <c r="AS13" s="28"/>
      <c r="AT13" s="28"/>
      <c r="AU13" s="29">
        <f t="shared" si="10"/>
        <v>0</v>
      </c>
    </row>
    <row r="14" spans="2:47">
      <c r="B14" s="26">
        <v>750</v>
      </c>
      <c r="C14" s="27"/>
      <c r="D14" s="28"/>
      <c r="E14" s="29">
        <f t="shared" si="0"/>
        <v>0</v>
      </c>
      <c r="F14" s="19"/>
      <c r="G14" s="11">
        <v>120</v>
      </c>
      <c r="H14" s="31"/>
      <c r="I14" s="28"/>
      <c r="J14" s="28"/>
      <c r="K14" s="29">
        <f t="shared" si="4"/>
        <v>0</v>
      </c>
      <c r="L14" s="27"/>
      <c r="M14" s="28"/>
      <c r="N14" s="28"/>
      <c r="O14" s="29">
        <f t="shared" si="5"/>
        <v>0</v>
      </c>
      <c r="P14" s="31"/>
      <c r="Q14" s="28"/>
      <c r="R14" s="28"/>
      <c r="S14" s="29">
        <f t="shared" si="1"/>
        <v>0</v>
      </c>
      <c r="T14" s="27"/>
      <c r="U14" s="28"/>
      <c r="V14" s="28"/>
      <c r="W14" s="29">
        <f t="shared" si="2"/>
        <v>0</v>
      </c>
      <c r="X14" s="31"/>
      <c r="Y14" s="28"/>
      <c r="Z14" s="28"/>
      <c r="AA14" s="29">
        <f t="shared" si="3"/>
        <v>0</v>
      </c>
      <c r="AB14" s="27"/>
      <c r="AC14" s="28"/>
      <c r="AD14" s="28"/>
      <c r="AE14" s="29">
        <f t="shared" si="6"/>
        <v>0</v>
      </c>
      <c r="AF14" s="31"/>
      <c r="AG14" s="28"/>
      <c r="AH14" s="28"/>
      <c r="AI14" s="29">
        <f t="shared" si="7"/>
        <v>0</v>
      </c>
      <c r="AJ14" s="27"/>
      <c r="AK14" s="28"/>
      <c r="AL14" s="28"/>
      <c r="AM14" s="29">
        <f t="shared" si="8"/>
        <v>0</v>
      </c>
      <c r="AN14" s="31"/>
      <c r="AO14" s="28"/>
      <c r="AP14" s="28"/>
      <c r="AQ14" s="29">
        <f t="shared" si="9"/>
        <v>0</v>
      </c>
      <c r="AR14" s="27"/>
      <c r="AS14" s="28"/>
      <c r="AT14" s="28"/>
      <c r="AU14" s="29">
        <f t="shared" si="10"/>
        <v>0</v>
      </c>
    </row>
    <row r="15" spans="2:47" ht="15" thickBot="1">
      <c r="B15" s="32">
        <v>1000</v>
      </c>
      <c r="C15" s="33"/>
      <c r="D15" s="34"/>
      <c r="E15" s="35">
        <f t="shared" si="0"/>
        <v>0</v>
      </c>
      <c r="F15" s="19"/>
      <c r="G15" s="11">
        <v>150</v>
      </c>
      <c r="H15" s="31"/>
      <c r="I15" s="28"/>
      <c r="J15" s="28"/>
      <c r="K15" s="29">
        <f t="shared" si="4"/>
        <v>0</v>
      </c>
      <c r="L15" s="27"/>
      <c r="M15" s="28"/>
      <c r="N15" s="28"/>
      <c r="O15" s="29">
        <f t="shared" si="5"/>
        <v>0</v>
      </c>
      <c r="P15" s="31"/>
      <c r="Q15" s="28"/>
      <c r="R15" s="28"/>
      <c r="S15" s="29">
        <f t="shared" si="1"/>
        <v>0</v>
      </c>
      <c r="T15" s="27"/>
      <c r="U15" s="28"/>
      <c r="V15" s="28"/>
      <c r="W15" s="29">
        <f t="shared" si="2"/>
        <v>0</v>
      </c>
      <c r="X15" s="31"/>
      <c r="Y15" s="28"/>
      <c r="Z15" s="28"/>
      <c r="AA15" s="29">
        <f t="shared" si="3"/>
        <v>0</v>
      </c>
      <c r="AB15" s="27"/>
      <c r="AC15" s="28"/>
      <c r="AD15" s="28"/>
      <c r="AE15" s="29">
        <f t="shared" si="6"/>
        <v>0</v>
      </c>
      <c r="AF15" s="31"/>
      <c r="AG15" s="28"/>
      <c r="AH15" s="28"/>
      <c r="AI15" s="29">
        <f t="shared" si="7"/>
        <v>0</v>
      </c>
      <c r="AJ15" s="27"/>
      <c r="AK15" s="28"/>
      <c r="AL15" s="28"/>
      <c r="AM15" s="29">
        <f t="shared" si="8"/>
        <v>0</v>
      </c>
      <c r="AN15" s="31"/>
      <c r="AO15" s="28"/>
      <c r="AP15" s="28"/>
      <c r="AQ15" s="29">
        <f t="shared" si="9"/>
        <v>0</v>
      </c>
      <c r="AR15" s="27"/>
      <c r="AS15" s="28"/>
      <c r="AT15" s="28"/>
      <c r="AU15" s="29">
        <f t="shared" si="10"/>
        <v>0</v>
      </c>
    </row>
    <row r="16" spans="2:47">
      <c r="B16" s="19"/>
      <c r="C16" s="19"/>
      <c r="D16" s="36" t="s">
        <v>18</v>
      </c>
      <c r="E16" s="37" t="s">
        <v>19</v>
      </c>
      <c r="F16" s="19"/>
      <c r="G16" s="11">
        <v>180</v>
      </c>
      <c r="H16" s="31"/>
      <c r="I16" s="28"/>
      <c r="J16" s="28"/>
      <c r="K16" s="29">
        <f t="shared" si="4"/>
        <v>0</v>
      </c>
      <c r="L16" s="27"/>
      <c r="M16" s="28"/>
      <c r="N16" s="28"/>
      <c r="O16" s="29">
        <f t="shared" si="5"/>
        <v>0</v>
      </c>
      <c r="P16" s="31"/>
      <c r="Q16" s="28"/>
      <c r="R16" s="28"/>
      <c r="S16" s="29">
        <f t="shared" si="1"/>
        <v>0</v>
      </c>
      <c r="T16" s="27"/>
      <c r="U16" s="28"/>
      <c r="V16" s="28"/>
      <c r="W16" s="29">
        <f t="shared" si="2"/>
        <v>0</v>
      </c>
      <c r="X16" s="31"/>
      <c r="Y16" s="28"/>
      <c r="Z16" s="28"/>
      <c r="AA16" s="29">
        <f t="shared" si="3"/>
        <v>0</v>
      </c>
      <c r="AB16" s="27"/>
      <c r="AC16" s="28"/>
      <c r="AD16" s="28"/>
      <c r="AE16" s="29">
        <f t="shared" si="6"/>
        <v>0</v>
      </c>
      <c r="AF16" s="31"/>
      <c r="AG16" s="28"/>
      <c r="AH16" s="28"/>
      <c r="AI16" s="29">
        <f t="shared" si="7"/>
        <v>0</v>
      </c>
      <c r="AJ16" s="27"/>
      <c r="AK16" s="28"/>
      <c r="AL16" s="28"/>
      <c r="AM16" s="29">
        <f t="shared" si="8"/>
        <v>0</v>
      </c>
      <c r="AN16" s="31"/>
      <c r="AO16" s="28"/>
      <c r="AP16" s="28"/>
      <c r="AQ16" s="29">
        <f t="shared" si="9"/>
        <v>0</v>
      </c>
      <c r="AR16" s="27"/>
      <c r="AS16" s="28"/>
      <c r="AT16" s="28"/>
      <c r="AU16" s="29">
        <f t="shared" si="10"/>
        <v>0</v>
      </c>
    </row>
    <row r="17" spans="2:47" ht="15" thickBot="1">
      <c r="B17" s="19"/>
      <c r="C17" s="19"/>
      <c r="D17" s="38">
        <f>SLOPE(E20:E27,D20:D27)</f>
        <v>0</v>
      </c>
      <c r="E17" s="39">
        <f>INTERCEPT(E20:E27,D20:D27)</f>
        <v>0</v>
      </c>
      <c r="F17" s="19"/>
      <c r="G17" s="11">
        <v>210</v>
      </c>
      <c r="H17" s="31"/>
      <c r="I17" s="28"/>
      <c r="J17" s="28"/>
      <c r="K17" s="29">
        <f t="shared" si="4"/>
        <v>0</v>
      </c>
      <c r="L17" s="27"/>
      <c r="M17" s="28"/>
      <c r="N17" s="28"/>
      <c r="O17" s="29">
        <f t="shared" si="5"/>
        <v>0</v>
      </c>
      <c r="P17" s="31"/>
      <c r="Q17" s="28"/>
      <c r="R17" s="28"/>
      <c r="S17" s="29">
        <f t="shared" si="1"/>
        <v>0</v>
      </c>
      <c r="T17" s="27"/>
      <c r="U17" s="28"/>
      <c r="V17" s="28"/>
      <c r="W17" s="29">
        <f t="shared" si="2"/>
        <v>0</v>
      </c>
      <c r="X17" s="31"/>
      <c r="Y17" s="28"/>
      <c r="Z17" s="28"/>
      <c r="AA17" s="29">
        <f t="shared" si="3"/>
        <v>0</v>
      </c>
      <c r="AB17" s="27"/>
      <c r="AC17" s="28"/>
      <c r="AD17" s="28"/>
      <c r="AE17" s="29">
        <f t="shared" si="6"/>
        <v>0</v>
      </c>
      <c r="AF17" s="31"/>
      <c r="AG17" s="28"/>
      <c r="AH17" s="28"/>
      <c r="AI17" s="29">
        <f t="shared" si="7"/>
        <v>0</v>
      </c>
      <c r="AJ17" s="27"/>
      <c r="AK17" s="28"/>
      <c r="AL17" s="28"/>
      <c r="AM17" s="29">
        <f t="shared" si="8"/>
        <v>0</v>
      </c>
      <c r="AN17" s="31"/>
      <c r="AO17" s="28"/>
      <c r="AP17" s="28"/>
      <c r="AQ17" s="29">
        <f t="shared" si="9"/>
        <v>0</v>
      </c>
      <c r="AR17" s="27"/>
      <c r="AS17" s="28"/>
      <c r="AT17" s="28"/>
      <c r="AU17" s="29">
        <f t="shared" si="10"/>
        <v>0</v>
      </c>
    </row>
    <row r="18" spans="2:47" ht="15" thickBot="1">
      <c r="B18" s="19"/>
      <c r="C18" s="19"/>
      <c r="D18" s="19"/>
      <c r="E18" s="19"/>
      <c r="F18" s="19"/>
      <c r="G18" s="12">
        <v>240</v>
      </c>
      <c r="H18" s="38"/>
      <c r="I18" s="40"/>
      <c r="J18" s="40"/>
      <c r="K18" s="39">
        <f t="shared" si="4"/>
        <v>0</v>
      </c>
      <c r="L18" s="33"/>
      <c r="M18" s="40"/>
      <c r="N18" s="40"/>
      <c r="O18" s="39">
        <f t="shared" si="5"/>
        <v>0</v>
      </c>
      <c r="P18" s="38"/>
      <c r="Q18" s="40"/>
      <c r="R18" s="40"/>
      <c r="S18" s="39">
        <f t="shared" si="1"/>
        <v>0</v>
      </c>
      <c r="T18" s="33"/>
      <c r="U18" s="40"/>
      <c r="V18" s="40"/>
      <c r="W18" s="39">
        <f t="shared" si="2"/>
        <v>0</v>
      </c>
      <c r="X18" s="38"/>
      <c r="Y18" s="40"/>
      <c r="Z18" s="40"/>
      <c r="AA18" s="39">
        <f t="shared" si="3"/>
        <v>0</v>
      </c>
      <c r="AB18" s="33"/>
      <c r="AC18" s="40"/>
      <c r="AD18" s="40"/>
      <c r="AE18" s="39">
        <f t="shared" si="6"/>
        <v>0</v>
      </c>
      <c r="AF18" s="38"/>
      <c r="AG18" s="40"/>
      <c r="AH18" s="40"/>
      <c r="AI18" s="39">
        <f t="shared" si="7"/>
        <v>0</v>
      </c>
      <c r="AJ18" s="33"/>
      <c r="AK18" s="40"/>
      <c r="AL18" s="40"/>
      <c r="AM18" s="39">
        <f t="shared" si="8"/>
        <v>0</v>
      </c>
      <c r="AN18" s="38"/>
      <c r="AO18" s="40"/>
      <c r="AP18" s="40"/>
      <c r="AQ18" s="39">
        <f t="shared" si="9"/>
        <v>0</v>
      </c>
      <c r="AR18" s="33"/>
      <c r="AS18" s="40"/>
      <c r="AT18" s="40"/>
      <c r="AU18" s="39">
        <f t="shared" si="10"/>
        <v>0</v>
      </c>
    </row>
    <row r="19" spans="2:47" ht="16.899999999999999" thickBot="1">
      <c r="B19" s="19"/>
      <c r="C19" s="19"/>
      <c r="D19" s="20" t="s">
        <v>2</v>
      </c>
      <c r="E19" s="18" t="s">
        <v>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2:47" ht="15" thickBot="1">
      <c r="B20" s="19"/>
      <c r="C20" s="19"/>
      <c r="D20" s="26">
        <v>25</v>
      </c>
      <c r="E20" s="29">
        <f>E8-$E$7</f>
        <v>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2:47" ht="15" thickBot="1">
      <c r="B21" s="19"/>
      <c r="C21" s="19"/>
      <c r="D21" s="26">
        <v>50</v>
      </c>
      <c r="E21" s="29">
        <f t="shared" ref="E21:E27" si="11">E9-$E$7</f>
        <v>0</v>
      </c>
      <c r="F21" s="19"/>
      <c r="G21" s="19"/>
      <c r="H21" s="76" t="str">
        <f t="shared" ref="H21" si="12">H6</f>
        <v>CONTROL + (M9)</v>
      </c>
      <c r="I21" s="77"/>
      <c r="J21" s="77"/>
      <c r="K21" s="78"/>
      <c r="L21" s="79" t="str">
        <f t="shared" ref="L21" si="13">L6</f>
        <v>CONTROL - (LB)</v>
      </c>
      <c r="M21" s="80"/>
      <c r="N21" s="80"/>
      <c r="O21" s="81"/>
      <c r="P21" s="82" t="str">
        <f t="shared" ref="P21" si="14">P6</f>
        <v>SAMPLE 1</v>
      </c>
      <c r="Q21" s="83"/>
      <c r="R21" s="83"/>
      <c r="S21" s="84"/>
      <c r="T21" s="85" t="str">
        <f t="shared" ref="T21" si="15">T6</f>
        <v>SAMPLE 2</v>
      </c>
      <c r="U21" s="86"/>
      <c r="V21" s="86"/>
      <c r="W21" s="87"/>
      <c r="X21" s="88" t="str">
        <f t="shared" ref="X21" si="16">X6</f>
        <v>SAMPLE 3</v>
      </c>
      <c r="Y21" s="89"/>
      <c r="Z21" s="89"/>
      <c r="AA21" s="90"/>
      <c r="AB21" s="91" t="str">
        <f t="shared" ref="AB21" si="17">AB6</f>
        <v>SAMPLE 4</v>
      </c>
      <c r="AC21" s="92"/>
      <c r="AD21" s="92"/>
      <c r="AE21" s="93"/>
      <c r="AF21" s="94" t="str">
        <f t="shared" ref="AF21" si="18">AF6</f>
        <v>SAMPLE 5</v>
      </c>
      <c r="AG21" s="95"/>
      <c r="AH21" s="95"/>
      <c r="AI21" s="96"/>
      <c r="AJ21" s="97" t="str">
        <f t="shared" ref="AJ21" si="19">AJ6</f>
        <v>SAMPLE 6</v>
      </c>
      <c r="AK21" s="98"/>
      <c r="AL21" s="98"/>
      <c r="AM21" s="99"/>
      <c r="AN21" s="70" t="str">
        <f t="shared" ref="AN21" si="20">AN6</f>
        <v>SAMPLE 7</v>
      </c>
      <c r="AO21" s="71"/>
      <c r="AP21" s="71"/>
      <c r="AQ21" s="72"/>
      <c r="AR21" s="73" t="str">
        <f>AR6</f>
        <v>SAMPLE 8</v>
      </c>
      <c r="AS21" s="74"/>
      <c r="AT21" s="74"/>
      <c r="AU21" s="75"/>
    </row>
    <row r="22" spans="2:47" ht="16.899999999999999" thickBot="1">
      <c r="B22" s="19"/>
      <c r="C22" s="19"/>
      <c r="D22" s="26">
        <v>100</v>
      </c>
      <c r="E22" s="29">
        <f t="shared" si="11"/>
        <v>0</v>
      </c>
      <c r="F22" s="19"/>
      <c r="G22" s="20" t="s">
        <v>16</v>
      </c>
      <c r="H22" s="41" t="s">
        <v>17</v>
      </c>
      <c r="I22" s="42" t="s">
        <v>2</v>
      </c>
      <c r="J22" s="42" t="s">
        <v>20</v>
      </c>
      <c r="K22" s="43" t="s">
        <v>21</v>
      </c>
      <c r="L22" s="41" t="s">
        <v>17</v>
      </c>
      <c r="M22" s="42" t="s">
        <v>2</v>
      </c>
      <c r="N22" s="42" t="s">
        <v>20</v>
      </c>
      <c r="O22" s="42" t="s">
        <v>21</v>
      </c>
      <c r="P22" s="49" t="s">
        <v>17</v>
      </c>
      <c r="Q22" s="42" t="s">
        <v>2</v>
      </c>
      <c r="R22" s="42" t="s">
        <v>20</v>
      </c>
      <c r="S22" s="43" t="s">
        <v>21</v>
      </c>
      <c r="T22" s="41" t="s">
        <v>17</v>
      </c>
      <c r="U22" s="42" t="s">
        <v>2</v>
      </c>
      <c r="V22" s="42" t="s">
        <v>20</v>
      </c>
      <c r="W22" s="42" t="s">
        <v>21</v>
      </c>
      <c r="X22" s="49" t="s">
        <v>17</v>
      </c>
      <c r="Y22" s="42" t="s">
        <v>2</v>
      </c>
      <c r="Z22" s="42" t="s">
        <v>20</v>
      </c>
      <c r="AA22" s="43" t="s">
        <v>21</v>
      </c>
      <c r="AB22" s="41" t="s">
        <v>17</v>
      </c>
      <c r="AC22" s="42" t="s">
        <v>2</v>
      </c>
      <c r="AD22" s="42" t="s">
        <v>20</v>
      </c>
      <c r="AE22" s="42" t="s">
        <v>21</v>
      </c>
      <c r="AF22" s="49" t="s">
        <v>17</v>
      </c>
      <c r="AG22" s="42" t="s">
        <v>2</v>
      </c>
      <c r="AH22" s="42" t="s">
        <v>20</v>
      </c>
      <c r="AI22" s="43" t="s">
        <v>21</v>
      </c>
      <c r="AJ22" s="41" t="s">
        <v>17</v>
      </c>
      <c r="AK22" s="42" t="s">
        <v>2</v>
      </c>
      <c r="AL22" s="42" t="s">
        <v>20</v>
      </c>
      <c r="AM22" s="42" t="s">
        <v>21</v>
      </c>
      <c r="AN22" s="49" t="s">
        <v>17</v>
      </c>
      <c r="AO22" s="42" t="s">
        <v>2</v>
      </c>
      <c r="AP22" s="42" t="s">
        <v>20</v>
      </c>
      <c r="AQ22" s="43" t="s">
        <v>21</v>
      </c>
      <c r="AR22" s="41" t="s">
        <v>17</v>
      </c>
      <c r="AS22" s="42" t="s">
        <v>2</v>
      </c>
      <c r="AT22" s="43" t="s">
        <v>20</v>
      </c>
      <c r="AU22" s="20" t="s">
        <v>21</v>
      </c>
    </row>
    <row r="23" spans="2:47">
      <c r="B23" s="19"/>
      <c r="C23" s="19"/>
      <c r="D23" s="26">
        <v>200</v>
      </c>
      <c r="E23" s="29">
        <f t="shared" si="11"/>
        <v>0</v>
      </c>
      <c r="F23" s="19"/>
      <c r="G23" s="13">
        <v>0</v>
      </c>
      <c r="H23" s="36">
        <f>H8</f>
        <v>0</v>
      </c>
      <c r="I23" s="28" t="e">
        <f t="shared" ref="I23:I33" si="21">(K8-$E$17)/$D$17</f>
        <v>#DIV/0!</v>
      </c>
      <c r="J23" s="44" t="e">
        <f>I23*100</f>
        <v>#DIV/0!</v>
      </c>
      <c r="K23" s="45" t="e">
        <f>J23/H23</f>
        <v>#DIV/0!</v>
      </c>
      <c r="L23" s="36">
        <f>L8</f>
        <v>0</v>
      </c>
      <c r="M23" s="44" t="e">
        <f>(O8-$E$17)/$D$17</f>
        <v>#DIV/0!</v>
      </c>
      <c r="N23" s="44" t="e">
        <f>M23*100</f>
        <v>#DIV/0!</v>
      </c>
      <c r="O23" s="37" t="e">
        <f>N23/L23</f>
        <v>#DIV/0!</v>
      </c>
      <c r="P23" s="50">
        <f>P8</f>
        <v>0</v>
      </c>
      <c r="Q23" s="44" t="e">
        <f>(S8-$E$17)/$D$17</f>
        <v>#DIV/0!</v>
      </c>
      <c r="R23" s="44" t="e">
        <f>Q23*100</f>
        <v>#DIV/0!</v>
      </c>
      <c r="S23" s="45" t="e">
        <f>R23/P23</f>
        <v>#DIV/0!</v>
      </c>
      <c r="T23" s="36">
        <f>T8</f>
        <v>0</v>
      </c>
      <c r="U23" s="44" t="e">
        <f>(W8-$E$17)/$D$17</f>
        <v>#DIV/0!</v>
      </c>
      <c r="V23" s="44" t="e">
        <f>U23*100</f>
        <v>#DIV/0!</v>
      </c>
      <c r="W23" s="37" t="e">
        <f>V23/T23</f>
        <v>#DIV/0!</v>
      </c>
      <c r="X23" s="50">
        <f>X8</f>
        <v>0</v>
      </c>
      <c r="Y23" s="44" t="e">
        <f>(AA8-$E$17)/$D$17</f>
        <v>#DIV/0!</v>
      </c>
      <c r="Z23" s="44" t="e">
        <f>Y23*100</f>
        <v>#DIV/0!</v>
      </c>
      <c r="AA23" s="45" t="e">
        <f>Z23/X23</f>
        <v>#DIV/0!</v>
      </c>
      <c r="AB23" s="36">
        <f>AB8</f>
        <v>0</v>
      </c>
      <c r="AC23" s="44" t="e">
        <f>(AE8-$E$17)/$D$17</f>
        <v>#DIV/0!</v>
      </c>
      <c r="AD23" s="44" t="e">
        <f>AC23*100</f>
        <v>#DIV/0!</v>
      </c>
      <c r="AE23" s="37" t="e">
        <f>AD23/AB23</f>
        <v>#DIV/0!</v>
      </c>
      <c r="AF23" s="50">
        <f>AF8</f>
        <v>0</v>
      </c>
      <c r="AG23" s="44" t="e">
        <f>(AI8-$E$17)/$D$17</f>
        <v>#DIV/0!</v>
      </c>
      <c r="AH23" s="44" t="e">
        <f>AG23*100</f>
        <v>#DIV/0!</v>
      </c>
      <c r="AI23" s="45" t="e">
        <f>AH23/AF23</f>
        <v>#DIV/0!</v>
      </c>
      <c r="AJ23" s="36">
        <f>AJ8</f>
        <v>0</v>
      </c>
      <c r="AK23" s="44" t="e">
        <f>(AM8-$E$17)/$D$17</f>
        <v>#DIV/0!</v>
      </c>
      <c r="AL23" s="44" t="e">
        <f>AK23*100</f>
        <v>#DIV/0!</v>
      </c>
      <c r="AM23" s="37" t="e">
        <f>AL23/AJ23</f>
        <v>#DIV/0!</v>
      </c>
      <c r="AN23" s="50">
        <f>AN8</f>
        <v>0</v>
      </c>
      <c r="AO23" s="44" t="e">
        <f>(AQ8-$E$17)/$D$17</f>
        <v>#DIV/0!</v>
      </c>
      <c r="AP23" s="44" t="e">
        <f>AO23*100</f>
        <v>#DIV/0!</v>
      </c>
      <c r="AQ23" s="45" t="e">
        <f>AP23/AN23</f>
        <v>#DIV/0!</v>
      </c>
      <c r="AR23" s="36">
        <f>AR8</f>
        <v>0</v>
      </c>
      <c r="AS23" s="44" t="e">
        <f>(AU8-$E$17)/$D$17</f>
        <v>#DIV/0!</v>
      </c>
      <c r="AT23" s="45" t="e">
        <f>AS23*100</f>
        <v>#DIV/0!</v>
      </c>
      <c r="AU23" s="46" t="e">
        <f>AT23/AR23</f>
        <v>#DIV/0!</v>
      </c>
    </row>
    <row r="24" spans="2:47">
      <c r="B24" s="19"/>
      <c r="C24" s="19"/>
      <c r="D24" s="26">
        <v>250</v>
      </c>
      <c r="E24" s="29">
        <f t="shared" si="11"/>
        <v>0</v>
      </c>
      <c r="F24" s="19"/>
      <c r="G24" s="14">
        <v>10</v>
      </c>
      <c r="H24" s="31">
        <f t="shared" ref="H24:H33" si="22">H9</f>
        <v>0</v>
      </c>
      <c r="I24" s="28" t="e">
        <f t="shared" si="21"/>
        <v>#DIV/0!</v>
      </c>
      <c r="J24" s="28" t="e">
        <f t="shared" ref="J24:J33" si="23">I24*100</f>
        <v>#DIV/0!</v>
      </c>
      <c r="K24" s="47" t="e">
        <f t="shared" ref="K24:K33" si="24">J24/H24</f>
        <v>#DIV/0!</v>
      </c>
      <c r="L24" s="31">
        <f t="shared" ref="L24:L33" si="25">L9</f>
        <v>0</v>
      </c>
      <c r="M24" s="28" t="e">
        <f t="shared" ref="M24:M33" si="26">(O9-$E$17)/$D$17</f>
        <v>#DIV/0!</v>
      </c>
      <c r="N24" s="28" t="e">
        <f t="shared" ref="N24:N33" si="27">M24*100</f>
        <v>#DIV/0!</v>
      </c>
      <c r="O24" s="29" t="e">
        <f t="shared" ref="O24:O33" si="28">N24/L24</f>
        <v>#DIV/0!</v>
      </c>
      <c r="P24" s="27">
        <f t="shared" ref="P24:P33" si="29">P9</f>
        <v>0</v>
      </c>
      <c r="Q24" s="28" t="e">
        <f t="shared" ref="Q24:Q33" si="30">(S9-$E$17)/$D$17</f>
        <v>#DIV/0!</v>
      </c>
      <c r="R24" s="28" t="e">
        <f t="shared" ref="R24:R33" si="31">Q24*100</f>
        <v>#DIV/0!</v>
      </c>
      <c r="S24" s="47" t="e">
        <f t="shared" ref="S24:S33" si="32">R24/P24</f>
        <v>#DIV/0!</v>
      </c>
      <c r="T24" s="31">
        <f t="shared" ref="T24:T33" si="33">T9</f>
        <v>0</v>
      </c>
      <c r="U24" s="28" t="e">
        <f t="shared" ref="U24:U33" si="34">(W9-$E$17)/$D$17</f>
        <v>#DIV/0!</v>
      </c>
      <c r="V24" s="28" t="e">
        <f t="shared" ref="V24:V33" si="35">U24*100</f>
        <v>#DIV/0!</v>
      </c>
      <c r="W24" s="29" t="e">
        <f t="shared" ref="W24:W33" si="36">V24/T24</f>
        <v>#DIV/0!</v>
      </c>
      <c r="X24" s="27">
        <f t="shared" ref="X24:X33" si="37">X9</f>
        <v>0</v>
      </c>
      <c r="Y24" s="28" t="e">
        <f t="shared" ref="Y24:Y33" si="38">(AA9-$E$17)/$D$17</f>
        <v>#DIV/0!</v>
      </c>
      <c r="Z24" s="28" t="e">
        <f t="shared" ref="Z24:Z33" si="39">Y24*100</f>
        <v>#DIV/0!</v>
      </c>
      <c r="AA24" s="47" t="e">
        <f t="shared" ref="AA24:AA33" si="40">Z24/X24</f>
        <v>#DIV/0!</v>
      </c>
      <c r="AB24" s="31">
        <f t="shared" ref="AB24:AB33" si="41">AB9</f>
        <v>0</v>
      </c>
      <c r="AC24" s="28" t="e">
        <f t="shared" ref="AC24:AC33" si="42">(AE9-$E$17)/$D$17</f>
        <v>#DIV/0!</v>
      </c>
      <c r="AD24" s="28" t="e">
        <f t="shared" ref="AD24:AD33" si="43">AC24*100</f>
        <v>#DIV/0!</v>
      </c>
      <c r="AE24" s="29" t="e">
        <f t="shared" ref="AE24:AE33" si="44">AD24/AB24</f>
        <v>#DIV/0!</v>
      </c>
      <c r="AF24" s="27">
        <f t="shared" ref="AF24:AF33" si="45">AF9</f>
        <v>0</v>
      </c>
      <c r="AG24" s="28" t="e">
        <f t="shared" ref="AG24:AG33" si="46">(AI9-$E$17)/$D$17</f>
        <v>#DIV/0!</v>
      </c>
      <c r="AH24" s="28" t="e">
        <f t="shared" ref="AH24:AH33" si="47">AG24*100</f>
        <v>#DIV/0!</v>
      </c>
      <c r="AI24" s="47" t="e">
        <f t="shared" ref="AI24:AI33" si="48">AH24/AF24</f>
        <v>#DIV/0!</v>
      </c>
      <c r="AJ24" s="31">
        <f t="shared" ref="AJ24:AJ33" si="49">AJ9</f>
        <v>0</v>
      </c>
      <c r="AK24" s="28" t="e">
        <f t="shared" ref="AK24:AK33" si="50">(AM9-$E$17)/$D$17</f>
        <v>#DIV/0!</v>
      </c>
      <c r="AL24" s="28" t="e">
        <f t="shared" ref="AL24:AL33" si="51">AK24*100</f>
        <v>#DIV/0!</v>
      </c>
      <c r="AM24" s="29" t="e">
        <f t="shared" ref="AM24:AM33" si="52">AL24/AJ24</f>
        <v>#DIV/0!</v>
      </c>
      <c r="AN24" s="27">
        <f t="shared" ref="AN24:AN33" si="53">AN9</f>
        <v>0</v>
      </c>
      <c r="AO24" s="28" t="e">
        <f t="shared" ref="AO24:AO33" si="54">(AQ9-$E$17)/$D$17</f>
        <v>#DIV/0!</v>
      </c>
      <c r="AP24" s="28" t="e">
        <f t="shared" ref="AP24:AP33" si="55">AO24*100</f>
        <v>#DIV/0!</v>
      </c>
      <c r="AQ24" s="47" t="e">
        <f t="shared" ref="AQ24:AQ33" si="56">AP24/AN24</f>
        <v>#DIV/0!</v>
      </c>
      <c r="AR24" s="31">
        <f t="shared" ref="AR24:AR33" si="57">AR9</f>
        <v>0</v>
      </c>
      <c r="AS24" s="28" t="e">
        <f t="shared" ref="AS24:AS33" si="58">(AU9-$E$17)/$D$17</f>
        <v>#DIV/0!</v>
      </c>
      <c r="AT24" s="47" t="e">
        <f t="shared" ref="AT24:AT33" si="59">AS24*100</f>
        <v>#DIV/0!</v>
      </c>
      <c r="AU24" s="26" t="e">
        <f t="shared" ref="AU24:AU33" si="60">AT24/AR24</f>
        <v>#DIV/0!</v>
      </c>
    </row>
    <row r="25" spans="2:47">
      <c r="B25" s="19"/>
      <c r="C25" s="19"/>
      <c r="D25" s="26">
        <v>500</v>
      </c>
      <c r="E25" s="29">
        <f t="shared" si="11"/>
        <v>0</v>
      </c>
      <c r="F25" s="19"/>
      <c r="G25" s="14">
        <v>20</v>
      </c>
      <c r="H25" s="31">
        <f t="shared" si="22"/>
        <v>0</v>
      </c>
      <c r="I25" s="28" t="e">
        <f t="shared" si="21"/>
        <v>#DIV/0!</v>
      </c>
      <c r="J25" s="28" t="e">
        <f t="shared" si="23"/>
        <v>#DIV/0!</v>
      </c>
      <c r="K25" s="47" t="e">
        <f t="shared" si="24"/>
        <v>#DIV/0!</v>
      </c>
      <c r="L25" s="31">
        <f t="shared" si="25"/>
        <v>0</v>
      </c>
      <c r="M25" s="28" t="e">
        <f t="shared" si="26"/>
        <v>#DIV/0!</v>
      </c>
      <c r="N25" s="28" t="e">
        <f t="shared" si="27"/>
        <v>#DIV/0!</v>
      </c>
      <c r="O25" s="29" t="e">
        <f t="shared" si="28"/>
        <v>#DIV/0!</v>
      </c>
      <c r="P25" s="27">
        <f t="shared" si="29"/>
        <v>0</v>
      </c>
      <c r="Q25" s="28" t="e">
        <f t="shared" si="30"/>
        <v>#DIV/0!</v>
      </c>
      <c r="R25" s="28" t="e">
        <f t="shared" si="31"/>
        <v>#DIV/0!</v>
      </c>
      <c r="S25" s="47" t="e">
        <f t="shared" si="32"/>
        <v>#DIV/0!</v>
      </c>
      <c r="T25" s="31">
        <f t="shared" si="33"/>
        <v>0</v>
      </c>
      <c r="U25" s="28" t="e">
        <f t="shared" si="34"/>
        <v>#DIV/0!</v>
      </c>
      <c r="V25" s="28" t="e">
        <f t="shared" si="35"/>
        <v>#DIV/0!</v>
      </c>
      <c r="W25" s="29" t="e">
        <f t="shared" si="36"/>
        <v>#DIV/0!</v>
      </c>
      <c r="X25" s="27">
        <f t="shared" si="37"/>
        <v>0</v>
      </c>
      <c r="Y25" s="28" t="e">
        <f t="shared" si="38"/>
        <v>#DIV/0!</v>
      </c>
      <c r="Z25" s="28" t="e">
        <f t="shared" si="39"/>
        <v>#DIV/0!</v>
      </c>
      <c r="AA25" s="47" t="e">
        <f t="shared" si="40"/>
        <v>#DIV/0!</v>
      </c>
      <c r="AB25" s="31">
        <f t="shared" si="41"/>
        <v>0</v>
      </c>
      <c r="AC25" s="28" t="e">
        <f t="shared" si="42"/>
        <v>#DIV/0!</v>
      </c>
      <c r="AD25" s="28" t="e">
        <f t="shared" si="43"/>
        <v>#DIV/0!</v>
      </c>
      <c r="AE25" s="29" t="e">
        <f t="shared" si="44"/>
        <v>#DIV/0!</v>
      </c>
      <c r="AF25" s="27">
        <f t="shared" si="45"/>
        <v>0</v>
      </c>
      <c r="AG25" s="28" t="e">
        <f t="shared" si="46"/>
        <v>#DIV/0!</v>
      </c>
      <c r="AH25" s="28" t="e">
        <f t="shared" si="47"/>
        <v>#DIV/0!</v>
      </c>
      <c r="AI25" s="47" t="e">
        <f t="shared" si="48"/>
        <v>#DIV/0!</v>
      </c>
      <c r="AJ25" s="31">
        <f t="shared" si="49"/>
        <v>0</v>
      </c>
      <c r="AK25" s="28" t="e">
        <f t="shared" si="50"/>
        <v>#DIV/0!</v>
      </c>
      <c r="AL25" s="28" t="e">
        <f t="shared" si="51"/>
        <v>#DIV/0!</v>
      </c>
      <c r="AM25" s="29" t="e">
        <f t="shared" si="52"/>
        <v>#DIV/0!</v>
      </c>
      <c r="AN25" s="27">
        <f t="shared" si="53"/>
        <v>0</v>
      </c>
      <c r="AO25" s="28" t="e">
        <f t="shared" si="54"/>
        <v>#DIV/0!</v>
      </c>
      <c r="AP25" s="28" t="e">
        <f t="shared" si="55"/>
        <v>#DIV/0!</v>
      </c>
      <c r="AQ25" s="47" t="e">
        <f t="shared" si="56"/>
        <v>#DIV/0!</v>
      </c>
      <c r="AR25" s="31">
        <f t="shared" si="57"/>
        <v>0</v>
      </c>
      <c r="AS25" s="28" t="e">
        <f t="shared" si="58"/>
        <v>#DIV/0!</v>
      </c>
      <c r="AT25" s="47" t="e">
        <f t="shared" si="59"/>
        <v>#DIV/0!</v>
      </c>
      <c r="AU25" s="26" t="e">
        <f t="shared" si="60"/>
        <v>#DIV/0!</v>
      </c>
    </row>
    <row r="26" spans="2:47">
      <c r="B26" s="19"/>
      <c r="C26" s="19"/>
      <c r="D26" s="26">
        <v>750</v>
      </c>
      <c r="E26" s="29">
        <f t="shared" si="11"/>
        <v>0</v>
      </c>
      <c r="F26" s="19"/>
      <c r="G26" s="14">
        <v>30</v>
      </c>
      <c r="H26" s="31">
        <f t="shared" si="22"/>
        <v>0</v>
      </c>
      <c r="I26" s="28" t="e">
        <f t="shared" si="21"/>
        <v>#DIV/0!</v>
      </c>
      <c r="J26" s="28" t="e">
        <f t="shared" si="23"/>
        <v>#DIV/0!</v>
      </c>
      <c r="K26" s="47" t="e">
        <f t="shared" si="24"/>
        <v>#DIV/0!</v>
      </c>
      <c r="L26" s="31">
        <f t="shared" si="25"/>
        <v>0</v>
      </c>
      <c r="M26" s="28" t="e">
        <f t="shared" si="26"/>
        <v>#DIV/0!</v>
      </c>
      <c r="N26" s="28" t="e">
        <f t="shared" si="27"/>
        <v>#DIV/0!</v>
      </c>
      <c r="O26" s="29" t="e">
        <f t="shared" si="28"/>
        <v>#DIV/0!</v>
      </c>
      <c r="P26" s="27">
        <f t="shared" si="29"/>
        <v>0</v>
      </c>
      <c r="Q26" s="28" t="e">
        <f t="shared" si="30"/>
        <v>#DIV/0!</v>
      </c>
      <c r="R26" s="28" t="e">
        <f t="shared" si="31"/>
        <v>#DIV/0!</v>
      </c>
      <c r="S26" s="47" t="e">
        <f t="shared" si="32"/>
        <v>#DIV/0!</v>
      </c>
      <c r="T26" s="31">
        <f t="shared" si="33"/>
        <v>0</v>
      </c>
      <c r="U26" s="28" t="e">
        <f t="shared" si="34"/>
        <v>#DIV/0!</v>
      </c>
      <c r="V26" s="28" t="e">
        <f t="shared" si="35"/>
        <v>#DIV/0!</v>
      </c>
      <c r="W26" s="29" t="e">
        <f t="shared" si="36"/>
        <v>#DIV/0!</v>
      </c>
      <c r="X26" s="27">
        <f t="shared" si="37"/>
        <v>0</v>
      </c>
      <c r="Y26" s="28" t="e">
        <f t="shared" si="38"/>
        <v>#DIV/0!</v>
      </c>
      <c r="Z26" s="28" t="e">
        <f t="shared" si="39"/>
        <v>#DIV/0!</v>
      </c>
      <c r="AA26" s="47" t="e">
        <f t="shared" si="40"/>
        <v>#DIV/0!</v>
      </c>
      <c r="AB26" s="31">
        <f t="shared" si="41"/>
        <v>0</v>
      </c>
      <c r="AC26" s="28" t="e">
        <f t="shared" si="42"/>
        <v>#DIV/0!</v>
      </c>
      <c r="AD26" s="28" t="e">
        <f t="shared" si="43"/>
        <v>#DIV/0!</v>
      </c>
      <c r="AE26" s="29" t="e">
        <f t="shared" si="44"/>
        <v>#DIV/0!</v>
      </c>
      <c r="AF26" s="27">
        <f t="shared" si="45"/>
        <v>0</v>
      </c>
      <c r="AG26" s="28" t="e">
        <f t="shared" si="46"/>
        <v>#DIV/0!</v>
      </c>
      <c r="AH26" s="28" t="e">
        <f t="shared" si="47"/>
        <v>#DIV/0!</v>
      </c>
      <c r="AI26" s="47" t="e">
        <f t="shared" si="48"/>
        <v>#DIV/0!</v>
      </c>
      <c r="AJ26" s="31">
        <f t="shared" si="49"/>
        <v>0</v>
      </c>
      <c r="AK26" s="28" t="e">
        <f t="shared" si="50"/>
        <v>#DIV/0!</v>
      </c>
      <c r="AL26" s="28" t="e">
        <f t="shared" si="51"/>
        <v>#DIV/0!</v>
      </c>
      <c r="AM26" s="29" t="e">
        <f t="shared" si="52"/>
        <v>#DIV/0!</v>
      </c>
      <c r="AN26" s="27">
        <f t="shared" si="53"/>
        <v>0</v>
      </c>
      <c r="AO26" s="28" t="e">
        <f t="shared" si="54"/>
        <v>#DIV/0!</v>
      </c>
      <c r="AP26" s="28" t="e">
        <f t="shared" si="55"/>
        <v>#DIV/0!</v>
      </c>
      <c r="AQ26" s="47" t="e">
        <f t="shared" si="56"/>
        <v>#DIV/0!</v>
      </c>
      <c r="AR26" s="31">
        <f t="shared" si="57"/>
        <v>0</v>
      </c>
      <c r="AS26" s="28" t="e">
        <f t="shared" si="58"/>
        <v>#DIV/0!</v>
      </c>
      <c r="AT26" s="47" t="e">
        <f t="shared" si="59"/>
        <v>#DIV/0!</v>
      </c>
      <c r="AU26" s="26" t="e">
        <f t="shared" si="60"/>
        <v>#DIV/0!</v>
      </c>
    </row>
    <row r="27" spans="2:47" ht="15" thickBot="1">
      <c r="B27" s="19"/>
      <c r="C27" s="19"/>
      <c r="D27" s="32">
        <v>1000</v>
      </c>
      <c r="E27" s="39">
        <f t="shared" si="11"/>
        <v>0</v>
      </c>
      <c r="F27" s="19"/>
      <c r="G27" s="14">
        <v>60</v>
      </c>
      <c r="H27" s="31">
        <f t="shared" si="22"/>
        <v>0</v>
      </c>
      <c r="I27" s="28" t="e">
        <f t="shared" si="21"/>
        <v>#DIV/0!</v>
      </c>
      <c r="J27" s="28" t="e">
        <f t="shared" si="23"/>
        <v>#DIV/0!</v>
      </c>
      <c r="K27" s="47" t="e">
        <f t="shared" si="24"/>
        <v>#DIV/0!</v>
      </c>
      <c r="L27" s="31">
        <f t="shared" si="25"/>
        <v>0</v>
      </c>
      <c r="M27" s="28" t="e">
        <f t="shared" si="26"/>
        <v>#DIV/0!</v>
      </c>
      <c r="N27" s="28" t="e">
        <f t="shared" si="27"/>
        <v>#DIV/0!</v>
      </c>
      <c r="O27" s="29" t="e">
        <f t="shared" si="28"/>
        <v>#DIV/0!</v>
      </c>
      <c r="P27" s="27">
        <f t="shared" si="29"/>
        <v>0</v>
      </c>
      <c r="Q27" s="28" t="e">
        <f t="shared" si="30"/>
        <v>#DIV/0!</v>
      </c>
      <c r="R27" s="28" t="e">
        <f t="shared" si="31"/>
        <v>#DIV/0!</v>
      </c>
      <c r="S27" s="47" t="e">
        <f t="shared" si="32"/>
        <v>#DIV/0!</v>
      </c>
      <c r="T27" s="31">
        <f t="shared" si="33"/>
        <v>0</v>
      </c>
      <c r="U27" s="28" t="e">
        <f t="shared" si="34"/>
        <v>#DIV/0!</v>
      </c>
      <c r="V27" s="28" t="e">
        <f t="shared" si="35"/>
        <v>#DIV/0!</v>
      </c>
      <c r="W27" s="29" t="e">
        <f t="shared" si="36"/>
        <v>#DIV/0!</v>
      </c>
      <c r="X27" s="27">
        <f t="shared" si="37"/>
        <v>0</v>
      </c>
      <c r="Y27" s="28" t="e">
        <f t="shared" si="38"/>
        <v>#DIV/0!</v>
      </c>
      <c r="Z27" s="28" t="e">
        <f t="shared" si="39"/>
        <v>#DIV/0!</v>
      </c>
      <c r="AA27" s="47" t="e">
        <f t="shared" si="40"/>
        <v>#DIV/0!</v>
      </c>
      <c r="AB27" s="31">
        <f t="shared" si="41"/>
        <v>0</v>
      </c>
      <c r="AC27" s="28" t="e">
        <f t="shared" si="42"/>
        <v>#DIV/0!</v>
      </c>
      <c r="AD27" s="28" t="e">
        <f t="shared" si="43"/>
        <v>#DIV/0!</v>
      </c>
      <c r="AE27" s="29" t="e">
        <f t="shared" si="44"/>
        <v>#DIV/0!</v>
      </c>
      <c r="AF27" s="27">
        <f t="shared" si="45"/>
        <v>0</v>
      </c>
      <c r="AG27" s="28" t="e">
        <f t="shared" si="46"/>
        <v>#DIV/0!</v>
      </c>
      <c r="AH27" s="28" t="e">
        <f t="shared" si="47"/>
        <v>#DIV/0!</v>
      </c>
      <c r="AI27" s="47" t="e">
        <f t="shared" si="48"/>
        <v>#DIV/0!</v>
      </c>
      <c r="AJ27" s="31">
        <f t="shared" si="49"/>
        <v>0</v>
      </c>
      <c r="AK27" s="28" t="e">
        <f t="shared" si="50"/>
        <v>#DIV/0!</v>
      </c>
      <c r="AL27" s="28" t="e">
        <f t="shared" si="51"/>
        <v>#DIV/0!</v>
      </c>
      <c r="AM27" s="29" t="e">
        <f t="shared" si="52"/>
        <v>#DIV/0!</v>
      </c>
      <c r="AN27" s="27">
        <f t="shared" si="53"/>
        <v>0</v>
      </c>
      <c r="AO27" s="28" t="e">
        <f t="shared" si="54"/>
        <v>#DIV/0!</v>
      </c>
      <c r="AP27" s="28" t="e">
        <f t="shared" si="55"/>
        <v>#DIV/0!</v>
      </c>
      <c r="AQ27" s="47" t="e">
        <f t="shared" si="56"/>
        <v>#DIV/0!</v>
      </c>
      <c r="AR27" s="31">
        <f t="shared" si="57"/>
        <v>0</v>
      </c>
      <c r="AS27" s="28" t="e">
        <f t="shared" si="58"/>
        <v>#DIV/0!</v>
      </c>
      <c r="AT27" s="47" t="e">
        <f t="shared" si="59"/>
        <v>#DIV/0!</v>
      </c>
      <c r="AU27" s="26" t="e">
        <f t="shared" si="60"/>
        <v>#DIV/0!</v>
      </c>
    </row>
    <row r="28" spans="2:47">
      <c r="B28" s="19"/>
      <c r="C28" s="19"/>
      <c r="F28" s="19"/>
      <c r="G28" s="14">
        <v>90</v>
      </c>
      <c r="H28" s="31">
        <f t="shared" si="22"/>
        <v>0</v>
      </c>
      <c r="I28" s="28" t="e">
        <f t="shared" si="21"/>
        <v>#DIV/0!</v>
      </c>
      <c r="J28" s="28" t="e">
        <f t="shared" si="23"/>
        <v>#DIV/0!</v>
      </c>
      <c r="K28" s="47" t="e">
        <f t="shared" si="24"/>
        <v>#DIV/0!</v>
      </c>
      <c r="L28" s="31">
        <f t="shared" si="25"/>
        <v>0</v>
      </c>
      <c r="M28" s="28" t="e">
        <f t="shared" si="26"/>
        <v>#DIV/0!</v>
      </c>
      <c r="N28" s="28" t="e">
        <f t="shared" si="27"/>
        <v>#DIV/0!</v>
      </c>
      <c r="O28" s="29" t="e">
        <f t="shared" si="28"/>
        <v>#DIV/0!</v>
      </c>
      <c r="P28" s="27">
        <f t="shared" si="29"/>
        <v>0</v>
      </c>
      <c r="Q28" s="28" t="e">
        <f t="shared" si="30"/>
        <v>#DIV/0!</v>
      </c>
      <c r="R28" s="28" t="e">
        <f t="shared" si="31"/>
        <v>#DIV/0!</v>
      </c>
      <c r="S28" s="47" t="e">
        <f t="shared" si="32"/>
        <v>#DIV/0!</v>
      </c>
      <c r="T28" s="31">
        <f t="shared" si="33"/>
        <v>0</v>
      </c>
      <c r="U28" s="28" t="e">
        <f t="shared" si="34"/>
        <v>#DIV/0!</v>
      </c>
      <c r="V28" s="28" t="e">
        <f t="shared" si="35"/>
        <v>#DIV/0!</v>
      </c>
      <c r="W28" s="29" t="e">
        <f t="shared" si="36"/>
        <v>#DIV/0!</v>
      </c>
      <c r="X28" s="27">
        <f t="shared" si="37"/>
        <v>0</v>
      </c>
      <c r="Y28" s="28" t="e">
        <f t="shared" si="38"/>
        <v>#DIV/0!</v>
      </c>
      <c r="Z28" s="28" t="e">
        <f t="shared" si="39"/>
        <v>#DIV/0!</v>
      </c>
      <c r="AA28" s="47" t="e">
        <f t="shared" si="40"/>
        <v>#DIV/0!</v>
      </c>
      <c r="AB28" s="31">
        <f t="shared" si="41"/>
        <v>0</v>
      </c>
      <c r="AC28" s="28" t="e">
        <f t="shared" si="42"/>
        <v>#DIV/0!</v>
      </c>
      <c r="AD28" s="28" t="e">
        <f t="shared" si="43"/>
        <v>#DIV/0!</v>
      </c>
      <c r="AE28" s="29" t="e">
        <f t="shared" si="44"/>
        <v>#DIV/0!</v>
      </c>
      <c r="AF28" s="27">
        <f t="shared" si="45"/>
        <v>0</v>
      </c>
      <c r="AG28" s="28" t="e">
        <f t="shared" si="46"/>
        <v>#DIV/0!</v>
      </c>
      <c r="AH28" s="28" t="e">
        <f t="shared" si="47"/>
        <v>#DIV/0!</v>
      </c>
      <c r="AI28" s="47" t="e">
        <f t="shared" si="48"/>
        <v>#DIV/0!</v>
      </c>
      <c r="AJ28" s="31">
        <f t="shared" si="49"/>
        <v>0</v>
      </c>
      <c r="AK28" s="28" t="e">
        <f t="shared" si="50"/>
        <v>#DIV/0!</v>
      </c>
      <c r="AL28" s="28" t="e">
        <f t="shared" si="51"/>
        <v>#DIV/0!</v>
      </c>
      <c r="AM28" s="29" t="e">
        <f t="shared" si="52"/>
        <v>#DIV/0!</v>
      </c>
      <c r="AN28" s="27">
        <f t="shared" si="53"/>
        <v>0</v>
      </c>
      <c r="AO28" s="28" t="e">
        <f t="shared" si="54"/>
        <v>#DIV/0!</v>
      </c>
      <c r="AP28" s="28" t="e">
        <f t="shared" si="55"/>
        <v>#DIV/0!</v>
      </c>
      <c r="AQ28" s="47" t="e">
        <f t="shared" si="56"/>
        <v>#DIV/0!</v>
      </c>
      <c r="AR28" s="31">
        <f t="shared" si="57"/>
        <v>0</v>
      </c>
      <c r="AS28" s="28" t="e">
        <f t="shared" si="58"/>
        <v>#DIV/0!</v>
      </c>
      <c r="AT28" s="47" t="e">
        <f t="shared" si="59"/>
        <v>#DIV/0!</v>
      </c>
      <c r="AU28" s="26" t="e">
        <f t="shared" si="60"/>
        <v>#DIV/0!</v>
      </c>
    </row>
    <row r="29" spans="2:47">
      <c r="B29" s="19"/>
      <c r="C29" s="19"/>
      <c r="D29" s="19"/>
      <c r="E29" s="19"/>
      <c r="F29" s="19"/>
      <c r="G29" s="14">
        <v>120</v>
      </c>
      <c r="H29" s="31">
        <f t="shared" si="22"/>
        <v>0</v>
      </c>
      <c r="I29" s="28" t="e">
        <f t="shared" si="21"/>
        <v>#DIV/0!</v>
      </c>
      <c r="J29" s="28" t="e">
        <f t="shared" si="23"/>
        <v>#DIV/0!</v>
      </c>
      <c r="K29" s="47" t="e">
        <f t="shared" si="24"/>
        <v>#DIV/0!</v>
      </c>
      <c r="L29" s="31">
        <f t="shared" si="25"/>
        <v>0</v>
      </c>
      <c r="M29" s="28" t="e">
        <f t="shared" si="26"/>
        <v>#DIV/0!</v>
      </c>
      <c r="N29" s="28" t="e">
        <f t="shared" si="27"/>
        <v>#DIV/0!</v>
      </c>
      <c r="O29" s="29" t="e">
        <f t="shared" si="28"/>
        <v>#DIV/0!</v>
      </c>
      <c r="P29" s="27">
        <f t="shared" si="29"/>
        <v>0</v>
      </c>
      <c r="Q29" s="28" t="e">
        <f t="shared" si="30"/>
        <v>#DIV/0!</v>
      </c>
      <c r="R29" s="28" t="e">
        <f t="shared" si="31"/>
        <v>#DIV/0!</v>
      </c>
      <c r="S29" s="47" t="e">
        <f t="shared" si="32"/>
        <v>#DIV/0!</v>
      </c>
      <c r="T29" s="31">
        <f t="shared" si="33"/>
        <v>0</v>
      </c>
      <c r="U29" s="28" t="e">
        <f t="shared" si="34"/>
        <v>#DIV/0!</v>
      </c>
      <c r="V29" s="28" t="e">
        <f t="shared" si="35"/>
        <v>#DIV/0!</v>
      </c>
      <c r="W29" s="29" t="e">
        <f t="shared" si="36"/>
        <v>#DIV/0!</v>
      </c>
      <c r="X29" s="27">
        <f t="shared" si="37"/>
        <v>0</v>
      </c>
      <c r="Y29" s="28" t="e">
        <f t="shared" si="38"/>
        <v>#DIV/0!</v>
      </c>
      <c r="Z29" s="28" t="e">
        <f t="shared" si="39"/>
        <v>#DIV/0!</v>
      </c>
      <c r="AA29" s="47" t="e">
        <f t="shared" si="40"/>
        <v>#DIV/0!</v>
      </c>
      <c r="AB29" s="31">
        <f t="shared" si="41"/>
        <v>0</v>
      </c>
      <c r="AC29" s="28" t="e">
        <f t="shared" si="42"/>
        <v>#DIV/0!</v>
      </c>
      <c r="AD29" s="28" t="e">
        <f t="shared" si="43"/>
        <v>#DIV/0!</v>
      </c>
      <c r="AE29" s="29" t="e">
        <f t="shared" si="44"/>
        <v>#DIV/0!</v>
      </c>
      <c r="AF29" s="27">
        <f t="shared" si="45"/>
        <v>0</v>
      </c>
      <c r="AG29" s="28" t="e">
        <f t="shared" si="46"/>
        <v>#DIV/0!</v>
      </c>
      <c r="AH29" s="28" t="e">
        <f t="shared" si="47"/>
        <v>#DIV/0!</v>
      </c>
      <c r="AI29" s="47" t="e">
        <f t="shared" si="48"/>
        <v>#DIV/0!</v>
      </c>
      <c r="AJ29" s="31">
        <f t="shared" si="49"/>
        <v>0</v>
      </c>
      <c r="AK29" s="28" t="e">
        <f t="shared" si="50"/>
        <v>#DIV/0!</v>
      </c>
      <c r="AL29" s="28" t="e">
        <f t="shared" si="51"/>
        <v>#DIV/0!</v>
      </c>
      <c r="AM29" s="29" t="e">
        <f t="shared" si="52"/>
        <v>#DIV/0!</v>
      </c>
      <c r="AN29" s="27">
        <f t="shared" si="53"/>
        <v>0</v>
      </c>
      <c r="AO29" s="28" t="e">
        <f t="shared" si="54"/>
        <v>#DIV/0!</v>
      </c>
      <c r="AP29" s="28" t="e">
        <f t="shared" si="55"/>
        <v>#DIV/0!</v>
      </c>
      <c r="AQ29" s="47" t="e">
        <f t="shared" si="56"/>
        <v>#DIV/0!</v>
      </c>
      <c r="AR29" s="31">
        <f t="shared" si="57"/>
        <v>0</v>
      </c>
      <c r="AS29" s="28" t="e">
        <f t="shared" si="58"/>
        <v>#DIV/0!</v>
      </c>
      <c r="AT29" s="47" t="e">
        <f t="shared" si="59"/>
        <v>#DIV/0!</v>
      </c>
      <c r="AU29" s="26" t="e">
        <f t="shared" si="60"/>
        <v>#DIV/0!</v>
      </c>
    </row>
    <row r="30" spans="2:47">
      <c r="B30" s="19"/>
      <c r="C30" s="19"/>
      <c r="D30" s="19"/>
      <c r="E30" s="19"/>
      <c r="F30" s="19"/>
      <c r="G30" s="14">
        <v>150</v>
      </c>
      <c r="H30" s="31">
        <f t="shared" si="22"/>
        <v>0</v>
      </c>
      <c r="I30" s="28" t="e">
        <f t="shared" si="21"/>
        <v>#DIV/0!</v>
      </c>
      <c r="J30" s="28" t="e">
        <f t="shared" si="23"/>
        <v>#DIV/0!</v>
      </c>
      <c r="K30" s="47" t="e">
        <f t="shared" si="24"/>
        <v>#DIV/0!</v>
      </c>
      <c r="L30" s="31">
        <f t="shared" si="25"/>
        <v>0</v>
      </c>
      <c r="M30" s="28" t="e">
        <f t="shared" si="26"/>
        <v>#DIV/0!</v>
      </c>
      <c r="N30" s="28" t="e">
        <f t="shared" si="27"/>
        <v>#DIV/0!</v>
      </c>
      <c r="O30" s="29" t="e">
        <f t="shared" si="28"/>
        <v>#DIV/0!</v>
      </c>
      <c r="P30" s="27">
        <f t="shared" si="29"/>
        <v>0</v>
      </c>
      <c r="Q30" s="28" t="e">
        <f t="shared" si="30"/>
        <v>#DIV/0!</v>
      </c>
      <c r="R30" s="28" t="e">
        <f t="shared" si="31"/>
        <v>#DIV/0!</v>
      </c>
      <c r="S30" s="47" t="e">
        <f t="shared" si="32"/>
        <v>#DIV/0!</v>
      </c>
      <c r="T30" s="31">
        <f t="shared" si="33"/>
        <v>0</v>
      </c>
      <c r="U30" s="28" t="e">
        <f t="shared" si="34"/>
        <v>#DIV/0!</v>
      </c>
      <c r="V30" s="28" t="e">
        <f t="shared" si="35"/>
        <v>#DIV/0!</v>
      </c>
      <c r="W30" s="29" t="e">
        <f t="shared" si="36"/>
        <v>#DIV/0!</v>
      </c>
      <c r="X30" s="27">
        <f t="shared" si="37"/>
        <v>0</v>
      </c>
      <c r="Y30" s="28" t="e">
        <f t="shared" si="38"/>
        <v>#DIV/0!</v>
      </c>
      <c r="Z30" s="28" t="e">
        <f t="shared" si="39"/>
        <v>#DIV/0!</v>
      </c>
      <c r="AA30" s="47" t="e">
        <f t="shared" si="40"/>
        <v>#DIV/0!</v>
      </c>
      <c r="AB30" s="31">
        <f t="shared" si="41"/>
        <v>0</v>
      </c>
      <c r="AC30" s="28" t="e">
        <f t="shared" si="42"/>
        <v>#DIV/0!</v>
      </c>
      <c r="AD30" s="28" t="e">
        <f t="shared" si="43"/>
        <v>#DIV/0!</v>
      </c>
      <c r="AE30" s="29" t="e">
        <f t="shared" si="44"/>
        <v>#DIV/0!</v>
      </c>
      <c r="AF30" s="27">
        <f t="shared" si="45"/>
        <v>0</v>
      </c>
      <c r="AG30" s="28" t="e">
        <f t="shared" si="46"/>
        <v>#DIV/0!</v>
      </c>
      <c r="AH30" s="28" t="e">
        <f t="shared" si="47"/>
        <v>#DIV/0!</v>
      </c>
      <c r="AI30" s="47" t="e">
        <f t="shared" si="48"/>
        <v>#DIV/0!</v>
      </c>
      <c r="AJ30" s="31">
        <f t="shared" si="49"/>
        <v>0</v>
      </c>
      <c r="AK30" s="28" t="e">
        <f t="shared" si="50"/>
        <v>#DIV/0!</v>
      </c>
      <c r="AL30" s="28" t="e">
        <f t="shared" si="51"/>
        <v>#DIV/0!</v>
      </c>
      <c r="AM30" s="29" t="e">
        <f t="shared" si="52"/>
        <v>#DIV/0!</v>
      </c>
      <c r="AN30" s="27">
        <f t="shared" si="53"/>
        <v>0</v>
      </c>
      <c r="AO30" s="28" t="e">
        <f t="shared" si="54"/>
        <v>#DIV/0!</v>
      </c>
      <c r="AP30" s="28" t="e">
        <f t="shared" si="55"/>
        <v>#DIV/0!</v>
      </c>
      <c r="AQ30" s="47" t="e">
        <f t="shared" si="56"/>
        <v>#DIV/0!</v>
      </c>
      <c r="AR30" s="31">
        <f t="shared" si="57"/>
        <v>0</v>
      </c>
      <c r="AS30" s="28" t="e">
        <f t="shared" si="58"/>
        <v>#DIV/0!</v>
      </c>
      <c r="AT30" s="47" t="e">
        <f t="shared" si="59"/>
        <v>#DIV/0!</v>
      </c>
      <c r="AU30" s="26" t="e">
        <f t="shared" si="60"/>
        <v>#DIV/0!</v>
      </c>
    </row>
    <row r="31" spans="2:47">
      <c r="B31" s="19"/>
      <c r="C31" s="19"/>
      <c r="D31" s="19"/>
      <c r="E31" s="19"/>
      <c r="F31" s="19"/>
      <c r="G31" s="14">
        <v>180</v>
      </c>
      <c r="H31" s="31">
        <f t="shared" si="22"/>
        <v>0</v>
      </c>
      <c r="I31" s="28" t="e">
        <f t="shared" si="21"/>
        <v>#DIV/0!</v>
      </c>
      <c r="J31" s="28" t="e">
        <f t="shared" si="23"/>
        <v>#DIV/0!</v>
      </c>
      <c r="K31" s="47" t="e">
        <f t="shared" si="24"/>
        <v>#DIV/0!</v>
      </c>
      <c r="L31" s="31">
        <f t="shared" si="25"/>
        <v>0</v>
      </c>
      <c r="M31" s="28" t="e">
        <f t="shared" si="26"/>
        <v>#DIV/0!</v>
      </c>
      <c r="N31" s="28" t="e">
        <f t="shared" si="27"/>
        <v>#DIV/0!</v>
      </c>
      <c r="O31" s="29" t="e">
        <f t="shared" si="28"/>
        <v>#DIV/0!</v>
      </c>
      <c r="P31" s="27">
        <f t="shared" si="29"/>
        <v>0</v>
      </c>
      <c r="Q31" s="28" t="e">
        <f t="shared" si="30"/>
        <v>#DIV/0!</v>
      </c>
      <c r="R31" s="28" t="e">
        <f t="shared" si="31"/>
        <v>#DIV/0!</v>
      </c>
      <c r="S31" s="47" t="e">
        <f t="shared" si="32"/>
        <v>#DIV/0!</v>
      </c>
      <c r="T31" s="31">
        <f t="shared" si="33"/>
        <v>0</v>
      </c>
      <c r="U31" s="28" t="e">
        <f t="shared" si="34"/>
        <v>#DIV/0!</v>
      </c>
      <c r="V31" s="28" t="e">
        <f t="shared" si="35"/>
        <v>#DIV/0!</v>
      </c>
      <c r="W31" s="29" t="e">
        <f t="shared" si="36"/>
        <v>#DIV/0!</v>
      </c>
      <c r="X31" s="27">
        <f t="shared" si="37"/>
        <v>0</v>
      </c>
      <c r="Y31" s="28" t="e">
        <f t="shared" si="38"/>
        <v>#DIV/0!</v>
      </c>
      <c r="Z31" s="28" t="e">
        <f t="shared" si="39"/>
        <v>#DIV/0!</v>
      </c>
      <c r="AA31" s="47" t="e">
        <f t="shared" si="40"/>
        <v>#DIV/0!</v>
      </c>
      <c r="AB31" s="31">
        <f t="shared" si="41"/>
        <v>0</v>
      </c>
      <c r="AC31" s="28" t="e">
        <f t="shared" si="42"/>
        <v>#DIV/0!</v>
      </c>
      <c r="AD31" s="28" t="e">
        <f t="shared" si="43"/>
        <v>#DIV/0!</v>
      </c>
      <c r="AE31" s="29" t="e">
        <f t="shared" si="44"/>
        <v>#DIV/0!</v>
      </c>
      <c r="AF31" s="27">
        <f t="shared" si="45"/>
        <v>0</v>
      </c>
      <c r="AG31" s="28" t="e">
        <f t="shared" si="46"/>
        <v>#DIV/0!</v>
      </c>
      <c r="AH31" s="28" t="e">
        <f t="shared" si="47"/>
        <v>#DIV/0!</v>
      </c>
      <c r="AI31" s="47" t="e">
        <f t="shared" si="48"/>
        <v>#DIV/0!</v>
      </c>
      <c r="AJ31" s="31">
        <f t="shared" si="49"/>
        <v>0</v>
      </c>
      <c r="AK31" s="28" t="e">
        <f t="shared" si="50"/>
        <v>#DIV/0!</v>
      </c>
      <c r="AL31" s="28" t="e">
        <f t="shared" si="51"/>
        <v>#DIV/0!</v>
      </c>
      <c r="AM31" s="29" t="e">
        <f t="shared" si="52"/>
        <v>#DIV/0!</v>
      </c>
      <c r="AN31" s="27">
        <f t="shared" si="53"/>
        <v>0</v>
      </c>
      <c r="AO31" s="28" t="e">
        <f t="shared" si="54"/>
        <v>#DIV/0!</v>
      </c>
      <c r="AP31" s="28" t="e">
        <f t="shared" si="55"/>
        <v>#DIV/0!</v>
      </c>
      <c r="AQ31" s="47" t="e">
        <f t="shared" si="56"/>
        <v>#DIV/0!</v>
      </c>
      <c r="AR31" s="31">
        <f t="shared" si="57"/>
        <v>0</v>
      </c>
      <c r="AS31" s="28" t="e">
        <f t="shared" si="58"/>
        <v>#DIV/0!</v>
      </c>
      <c r="AT31" s="47" t="e">
        <f t="shared" si="59"/>
        <v>#DIV/0!</v>
      </c>
      <c r="AU31" s="26" t="e">
        <f t="shared" si="60"/>
        <v>#DIV/0!</v>
      </c>
    </row>
    <row r="32" spans="2:47">
      <c r="B32" s="19"/>
      <c r="C32" s="19"/>
      <c r="D32" s="19"/>
      <c r="E32" s="19"/>
      <c r="F32" s="19"/>
      <c r="G32" s="14">
        <v>210</v>
      </c>
      <c r="H32" s="31">
        <f t="shared" si="22"/>
        <v>0</v>
      </c>
      <c r="I32" s="28" t="e">
        <f t="shared" si="21"/>
        <v>#DIV/0!</v>
      </c>
      <c r="J32" s="28" t="e">
        <f t="shared" si="23"/>
        <v>#DIV/0!</v>
      </c>
      <c r="K32" s="47" t="e">
        <f t="shared" si="24"/>
        <v>#DIV/0!</v>
      </c>
      <c r="L32" s="31">
        <f t="shared" si="25"/>
        <v>0</v>
      </c>
      <c r="M32" s="28" t="e">
        <f t="shared" si="26"/>
        <v>#DIV/0!</v>
      </c>
      <c r="N32" s="28" t="e">
        <f t="shared" si="27"/>
        <v>#DIV/0!</v>
      </c>
      <c r="O32" s="29" t="e">
        <f t="shared" si="28"/>
        <v>#DIV/0!</v>
      </c>
      <c r="P32" s="27">
        <f t="shared" si="29"/>
        <v>0</v>
      </c>
      <c r="Q32" s="28" t="e">
        <f t="shared" si="30"/>
        <v>#DIV/0!</v>
      </c>
      <c r="R32" s="28" t="e">
        <f t="shared" si="31"/>
        <v>#DIV/0!</v>
      </c>
      <c r="S32" s="47" t="e">
        <f t="shared" si="32"/>
        <v>#DIV/0!</v>
      </c>
      <c r="T32" s="31">
        <f t="shared" si="33"/>
        <v>0</v>
      </c>
      <c r="U32" s="28" t="e">
        <f t="shared" si="34"/>
        <v>#DIV/0!</v>
      </c>
      <c r="V32" s="28" t="e">
        <f t="shared" si="35"/>
        <v>#DIV/0!</v>
      </c>
      <c r="W32" s="29" t="e">
        <f t="shared" si="36"/>
        <v>#DIV/0!</v>
      </c>
      <c r="X32" s="27">
        <f t="shared" si="37"/>
        <v>0</v>
      </c>
      <c r="Y32" s="28" t="e">
        <f t="shared" si="38"/>
        <v>#DIV/0!</v>
      </c>
      <c r="Z32" s="28" t="e">
        <f t="shared" si="39"/>
        <v>#DIV/0!</v>
      </c>
      <c r="AA32" s="47" t="e">
        <f t="shared" si="40"/>
        <v>#DIV/0!</v>
      </c>
      <c r="AB32" s="31">
        <f t="shared" si="41"/>
        <v>0</v>
      </c>
      <c r="AC32" s="28" t="e">
        <f t="shared" si="42"/>
        <v>#DIV/0!</v>
      </c>
      <c r="AD32" s="28" t="e">
        <f t="shared" si="43"/>
        <v>#DIV/0!</v>
      </c>
      <c r="AE32" s="29" t="e">
        <f t="shared" si="44"/>
        <v>#DIV/0!</v>
      </c>
      <c r="AF32" s="27">
        <f t="shared" si="45"/>
        <v>0</v>
      </c>
      <c r="AG32" s="28" t="e">
        <f t="shared" si="46"/>
        <v>#DIV/0!</v>
      </c>
      <c r="AH32" s="28" t="e">
        <f t="shared" si="47"/>
        <v>#DIV/0!</v>
      </c>
      <c r="AI32" s="47" t="e">
        <f t="shared" si="48"/>
        <v>#DIV/0!</v>
      </c>
      <c r="AJ32" s="31">
        <f t="shared" si="49"/>
        <v>0</v>
      </c>
      <c r="AK32" s="28" t="e">
        <f t="shared" si="50"/>
        <v>#DIV/0!</v>
      </c>
      <c r="AL32" s="28" t="e">
        <f t="shared" si="51"/>
        <v>#DIV/0!</v>
      </c>
      <c r="AM32" s="29" t="e">
        <f t="shared" si="52"/>
        <v>#DIV/0!</v>
      </c>
      <c r="AN32" s="27">
        <f t="shared" si="53"/>
        <v>0</v>
      </c>
      <c r="AO32" s="28" t="e">
        <f t="shared" si="54"/>
        <v>#DIV/0!</v>
      </c>
      <c r="AP32" s="28" t="e">
        <f t="shared" si="55"/>
        <v>#DIV/0!</v>
      </c>
      <c r="AQ32" s="47" t="e">
        <f t="shared" si="56"/>
        <v>#DIV/0!</v>
      </c>
      <c r="AR32" s="31">
        <f t="shared" si="57"/>
        <v>0</v>
      </c>
      <c r="AS32" s="28" t="e">
        <f t="shared" si="58"/>
        <v>#DIV/0!</v>
      </c>
      <c r="AT32" s="47" t="e">
        <f t="shared" si="59"/>
        <v>#DIV/0!</v>
      </c>
      <c r="AU32" s="26" t="e">
        <f t="shared" si="60"/>
        <v>#DIV/0!</v>
      </c>
    </row>
    <row r="33" spans="2:47" ht="15" thickBot="1">
      <c r="B33" s="19"/>
      <c r="C33" s="19"/>
      <c r="D33" s="19"/>
      <c r="E33" s="19"/>
      <c r="F33" s="19"/>
      <c r="G33" s="15">
        <v>240</v>
      </c>
      <c r="H33" s="38">
        <f t="shared" si="22"/>
        <v>0</v>
      </c>
      <c r="I33" s="40" t="e">
        <f t="shared" si="21"/>
        <v>#DIV/0!</v>
      </c>
      <c r="J33" s="40" t="e">
        <f t="shared" si="23"/>
        <v>#DIV/0!</v>
      </c>
      <c r="K33" s="48" t="e">
        <f t="shared" si="24"/>
        <v>#DIV/0!</v>
      </c>
      <c r="L33" s="38">
        <f t="shared" si="25"/>
        <v>0</v>
      </c>
      <c r="M33" s="40" t="e">
        <f t="shared" si="26"/>
        <v>#DIV/0!</v>
      </c>
      <c r="N33" s="40" t="e">
        <f t="shared" si="27"/>
        <v>#DIV/0!</v>
      </c>
      <c r="O33" s="39" t="e">
        <f t="shared" si="28"/>
        <v>#DIV/0!</v>
      </c>
      <c r="P33" s="33">
        <f t="shared" si="29"/>
        <v>0</v>
      </c>
      <c r="Q33" s="40" t="e">
        <f t="shared" si="30"/>
        <v>#DIV/0!</v>
      </c>
      <c r="R33" s="40" t="e">
        <f t="shared" si="31"/>
        <v>#DIV/0!</v>
      </c>
      <c r="S33" s="48" t="e">
        <f t="shared" si="32"/>
        <v>#DIV/0!</v>
      </c>
      <c r="T33" s="38">
        <f t="shared" si="33"/>
        <v>0</v>
      </c>
      <c r="U33" s="40" t="e">
        <f t="shared" si="34"/>
        <v>#DIV/0!</v>
      </c>
      <c r="V33" s="40" t="e">
        <f t="shared" si="35"/>
        <v>#DIV/0!</v>
      </c>
      <c r="W33" s="39" t="e">
        <f t="shared" si="36"/>
        <v>#DIV/0!</v>
      </c>
      <c r="X33" s="33">
        <f t="shared" si="37"/>
        <v>0</v>
      </c>
      <c r="Y33" s="40" t="e">
        <f t="shared" si="38"/>
        <v>#DIV/0!</v>
      </c>
      <c r="Z33" s="40" t="e">
        <f t="shared" si="39"/>
        <v>#DIV/0!</v>
      </c>
      <c r="AA33" s="48" t="e">
        <f t="shared" si="40"/>
        <v>#DIV/0!</v>
      </c>
      <c r="AB33" s="38">
        <f t="shared" si="41"/>
        <v>0</v>
      </c>
      <c r="AC33" s="40" t="e">
        <f t="shared" si="42"/>
        <v>#DIV/0!</v>
      </c>
      <c r="AD33" s="40" t="e">
        <f t="shared" si="43"/>
        <v>#DIV/0!</v>
      </c>
      <c r="AE33" s="39" t="e">
        <f t="shared" si="44"/>
        <v>#DIV/0!</v>
      </c>
      <c r="AF33" s="33">
        <f t="shared" si="45"/>
        <v>0</v>
      </c>
      <c r="AG33" s="40" t="e">
        <f t="shared" si="46"/>
        <v>#DIV/0!</v>
      </c>
      <c r="AH33" s="40" t="e">
        <f t="shared" si="47"/>
        <v>#DIV/0!</v>
      </c>
      <c r="AI33" s="48" t="e">
        <f t="shared" si="48"/>
        <v>#DIV/0!</v>
      </c>
      <c r="AJ33" s="38">
        <f t="shared" si="49"/>
        <v>0</v>
      </c>
      <c r="AK33" s="40" t="e">
        <f t="shared" si="50"/>
        <v>#DIV/0!</v>
      </c>
      <c r="AL33" s="40" t="e">
        <f t="shared" si="51"/>
        <v>#DIV/0!</v>
      </c>
      <c r="AM33" s="39" t="e">
        <f t="shared" si="52"/>
        <v>#DIV/0!</v>
      </c>
      <c r="AN33" s="33">
        <f t="shared" si="53"/>
        <v>0</v>
      </c>
      <c r="AO33" s="40" t="e">
        <f t="shared" si="54"/>
        <v>#DIV/0!</v>
      </c>
      <c r="AP33" s="40" t="e">
        <f t="shared" si="55"/>
        <v>#DIV/0!</v>
      </c>
      <c r="AQ33" s="48" t="e">
        <f t="shared" si="56"/>
        <v>#DIV/0!</v>
      </c>
      <c r="AR33" s="38">
        <f t="shared" si="57"/>
        <v>0</v>
      </c>
      <c r="AS33" s="40" t="e">
        <f t="shared" si="58"/>
        <v>#DIV/0!</v>
      </c>
      <c r="AT33" s="48" t="e">
        <f t="shared" si="59"/>
        <v>#DIV/0!</v>
      </c>
      <c r="AU33" s="32" t="e">
        <f t="shared" si="60"/>
        <v>#DIV/0!</v>
      </c>
    </row>
    <row r="34" spans="2:47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spans="2:47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 spans="2:47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 spans="2:47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spans="2:47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spans="2:47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spans="2:47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 spans="2:47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 spans="2:47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 spans="2:47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spans="2:47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spans="2:47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7" spans="2:47">
      <c r="G47" s="7"/>
    </row>
    <row r="48" spans="2:4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</sheetData>
  <mergeCells count="22">
    <mergeCell ref="AR21:AU21"/>
    <mergeCell ref="H21:K21"/>
    <mergeCell ref="L21:O21"/>
    <mergeCell ref="P21:S21"/>
    <mergeCell ref="T21:W21"/>
    <mergeCell ref="X21:AA21"/>
    <mergeCell ref="AB21:AE21"/>
    <mergeCell ref="AF21:AI21"/>
    <mergeCell ref="AJ21:AM21"/>
    <mergeCell ref="AN21:AQ21"/>
    <mergeCell ref="B5:E5"/>
    <mergeCell ref="H5:AU5"/>
    <mergeCell ref="AF6:AI6"/>
    <mergeCell ref="AJ6:AM6"/>
    <mergeCell ref="AN6:AQ6"/>
    <mergeCell ref="AR6:AU6"/>
    <mergeCell ref="P6:S6"/>
    <mergeCell ref="T6:W6"/>
    <mergeCell ref="X6:AA6"/>
    <mergeCell ref="AB6:AE6"/>
    <mergeCell ref="H6:K6"/>
    <mergeCell ref="L6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N11" sqref="N11"/>
    </sheetView>
  </sheetViews>
  <sheetFormatPr defaultColWidth="9.140625" defaultRowHeight="14.45"/>
  <cols>
    <col min="2" max="2" width="11.7109375" customWidth="1"/>
  </cols>
  <sheetData>
    <row r="1" spans="1:2">
      <c r="A1" t="s">
        <v>22</v>
      </c>
      <c r="B1" t="s">
        <v>23</v>
      </c>
    </row>
    <row r="2" spans="1:2">
      <c r="A2" s="1">
        <v>0</v>
      </c>
      <c r="B2" s="1">
        <v>0.83799999999999997</v>
      </c>
    </row>
    <row r="3" spans="1:2">
      <c r="A3" s="1">
        <v>10</v>
      </c>
      <c r="B3" s="1">
        <v>0.82</v>
      </c>
    </row>
    <row r="4" spans="1:2">
      <c r="A4" s="1">
        <v>20</v>
      </c>
      <c r="B4" s="1">
        <v>0.81299999999999994</v>
      </c>
    </row>
    <row r="5" spans="1:2">
      <c r="A5" s="1">
        <v>30</v>
      </c>
      <c r="B5" s="1">
        <v>0.77600000000000002</v>
      </c>
    </row>
    <row r="6" spans="1:2">
      <c r="A6" s="1">
        <v>45</v>
      </c>
      <c r="B6" s="1">
        <v>0.78700000000000003</v>
      </c>
    </row>
    <row r="7" spans="1:2">
      <c r="A7" s="1">
        <v>60</v>
      </c>
      <c r="B7" s="1">
        <v>0.76700000000000002</v>
      </c>
    </row>
    <row r="8" spans="1:2">
      <c r="A8" s="1">
        <v>90</v>
      </c>
      <c r="B8" s="1">
        <v>0.72199999999999998</v>
      </c>
    </row>
    <row r="9" spans="1:2">
      <c r="A9" s="1">
        <v>120</v>
      </c>
      <c r="B9" s="1">
        <v>0.72799999999999998</v>
      </c>
    </row>
    <row r="10" spans="1:2">
      <c r="A10" s="1">
        <v>180</v>
      </c>
      <c r="B10" s="1">
        <v>0.69199999999999995</v>
      </c>
    </row>
    <row r="11" spans="1:2">
      <c r="A11" s="1">
        <v>240</v>
      </c>
      <c r="B11" s="1">
        <v>0.622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46AE-9558-4A52-9EBA-BFBD001D6FAC}">
  <dimension ref="A1:E21"/>
  <sheetViews>
    <sheetView workbookViewId="0">
      <selection activeCell="G16" sqref="G16"/>
    </sheetView>
  </sheetViews>
  <sheetFormatPr defaultColWidth="8.85546875" defaultRowHeight="14.45"/>
  <sheetData>
    <row r="1" spans="1:5">
      <c r="A1" t="s">
        <v>24</v>
      </c>
      <c r="B1" t="s">
        <v>25</v>
      </c>
      <c r="C1" t="s">
        <v>26</v>
      </c>
    </row>
    <row r="2" spans="1:5">
      <c r="A2" s="1" t="s">
        <v>27</v>
      </c>
      <c r="B2" s="1">
        <v>0</v>
      </c>
      <c r="C2" s="1">
        <v>0.55700000000000005</v>
      </c>
    </row>
    <row r="3" spans="1:5">
      <c r="A3" s="1" t="s">
        <v>28</v>
      </c>
      <c r="B3" s="1">
        <v>0</v>
      </c>
      <c r="D3" s="1">
        <v>0.72199999999999998</v>
      </c>
    </row>
    <row r="4" spans="1:5">
      <c r="A4" s="1" t="s">
        <v>29</v>
      </c>
      <c r="B4" s="1">
        <v>25</v>
      </c>
      <c r="C4" s="1">
        <v>1.2709999999999999</v>
      </c>
    </row>
    <row r="5" spans="1:5">
      <c r="A5" s="1" t="s">
        <v>30</v>
      </c>
      <c r="B5" s="1">
        <v>25</v>
      </c>
      <c r="D5" s="1">
        <v>1.131</v>
      </c>
    </row>
    <row r="6" spans="1:5">
      <c r="A6" s="1" t="s">
        <v>31</v>
      </c>
      <c r="B6" s="1">
        <v>50</v>
      </c>
      <c r="C6" s="1">
        <v>1.806</v>
      </c>
    </row>
    <row r="7" spans="1:5">
      <c r="A7" s="1" t="s">
        <v>32</v>
      </c>
      <c r="B7" s="1">
        <v>50</v>
      </c>
      <c r="D7" s="1">
        <v>1.216</v>
      </c>
    </row>
    <row r="8" spans="1:5">
      <c r="A8" s="1" t="s">
        <v>33</v>
      </c>
      <c r="B8" s="1">
        <v>100</v>
      </c>
      <c r="C8" s="1">
        <v>1.5129999999999999</v>
      </c>
    </row>
    <row r="9" spans="1:5">
      <c r="A9" s="1" t="s">
        <v>34</v>
      </c>
      <c r="B9" s="1">
        <v>100</v>
      </c>
      <c r="D9" s="1">
        <v>0.92300000000000004</v>
      </c>
    </row>
    <row r="10" spans="1:5">
      <c r="A10" s="1" t="s">
        <v>35</v>
      </c>
      <c r="B10" s="1">
        <v>200</v>
      </c>
      <c r="C10" s="1">
        <v>0.71899999999999997</v>
      </c>
    </row>
    <row r="11" spans="1:5">
      <c r="A11" s="1" t="s">
        <v>36</v>
      </c>
      <c r="B11" s="1">
        <v>200</v>
      </c>
      <c r="D11" s="1">
        <v>0.88400000000000001</v>
      </c>
    </row>
    <row r="12" spans="1:5">
      <c r="A12" s="1" t="s">
        <v>37</v>
      </c>
      <c r="B12" s="1">
        <v>250</v>
      </c>
      <c r="C12" s="1">
        <v>1.1419999999999999</v>
      </c>
    </row>
    <row r="13" spans="1:5">
      <c r="A13" s="1" t="s">
        <v>38</v>
      </c>
      <c r="B13" s="1">
        <v>250</v>
      </c>
      <c r="D13" s="2"/>
      <c r="E13">
        <v>3</v>
      </c>
    </row>
    <row r="14" spans="1:5">
      <c r="A14" s="1" t="s">
        <v>39</v>
      </c>
      <c r="B14" s="1">
        <v>500</v>
      </c>
      <c r="C14" s="1">
        <v>1.173</v>
      </c>
    </row>
    <row r="15" spans="1:5">
      <c r="A15" s="1" t="s">
        <v>40</v>
      </c>
      <c r="B15" s="1">
        <v>500</v>
      </c>
      <c r="D15" s="2"/>
      <c r="E15">
        <v>3</v>
      </c>
    </row>
    <row r="16" spans="1:5">
      <c r="A16" s="1" t="s">
        <v>41</v>
      </c>
      <c r="B16" s="1">
        <v>750</v>
      </c>
      <c r="C16" s="1">
        <v>2.948</v>
      </c>
    </row>
    <row r="17" spans="1:4">
      <c r="A17" s="1" t="s">
        <v>42</v>
      </c>
      <c r="B17" s="1">
        <v>750</v>
      </c>
      <c r="D17" s="1">
        <v>1.5669999999999999</v>
      </c>
    </row>
    <row r="18" spans="1:4">
      <c r="A18" s="1" t="s">
        <v>43</v>
      </c>
      <c r="B18" s="1">
        <v>1000</v>
      </c>
      <c r="C18" s="1">
        <v>2.0169999999999999</v>
      </c>
    </row>
    <row r="19" spans="1:4">
      <c r="A19" s="1" t="s">
        <v>44</v>
      </c>
      <c r="B19" s="1">
        <v>1000</v>
      </c>
      <c r="D19" s="1">
        <v>2.8370000000000002</v>
      </c>
    </row>
    <row r="21" spans="1:4">
      <c r="A21" s="3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796C-A73B-4E32-826F-911D160CC122}">
  <dimension ref="A1:X12"/>
  <sheetViews>
    <sheetView topLeftCell="S1" zoomScale="91" workbookViewId="0">
      <selection activeCell="F42" sqref="F42"/>
    </sheetView>
  </sheetViews>
  <sheetFormatPr defaultColWidth="8.85546875" defaultRowHeight="14.45"/>
  <cols>
    <col min="2" max="2" width="3.42578125" bestFit="1" customWidth="1"/>
    <col min="3" max="3" width="10.7109375" bestFit="1" customWidth="1"/>
    <col min="5" max="5" width="3.85546875" bestFit="1" customWidth="1"/>
    <col min="6" max="6" width="10.7109375" bestFit="1" customWidth="1"/>
    <col min="9" max="9" width="11.85546875" style="5" bestFit="1" customWidth="1"/>
    <col min="11" max="11" width="4.42578125" style="9" bestFit="1" customWidth="1"/>
    <col min="12" max="12" width="6" bestFit="1" customWidth="1"/>
    <col min="13" max="13" width="11.140625" bestFit="1" customWidth="1"/>
    <col min="15" max="15" width="8.7109375" bestFit="1" customWidth="1"/>
    <col min="16" max="17" width="20.42578125" customWidth="1"/>
    <col min="19" max="19" width="4.85546875" style="9" bestFit="1" customWidth="1"/>
    <col min="20" max="20" width="11.140625" bestFit="1" customWidth="1"/>
    <col min="22" max="22" width="9.28515625" bestFit="1" customWidth="1"/>
    <col min="23" max="23" width="19" customWidth="1"/>
    <col min="24" max="24" width="17.85546875" customWidth="1"/>
  </cols>
  <sheetData>
    <row r="1" spans="1:24">
      <c r="A1" t="s">
        <v>25</v>
      </c>
      <c r="B1" t="s">
        <v>46</v>
      </c>
      <c r="C1" t="s">
        <v>47</v>
      </c>
      <c r="E1" t="s">
        <v>48</v>
      </c>
      <c r="F1" t="s">
        <v>47</v>
      </c>
      <c r="H1" t="s">
        <v>49</v>
      </c>
      <c r="I1" s="5" t="s">
        <v>50</v>
      </c>
      <c r="K1" s="9" t="s">
        <v>51</v>
      </c>
      <c r="L1" t="s">
        <v>22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S1" s="9" t="s">
        <v>57</v>
      </c>
      <c r="T1" t="s">
        <v>52</v>
      </c>
      <c r="U1" t="s">
        <v>58</v>
      </c>
      <c r="V1" t="s">
        <v>54</v>
      </c>
      <c r="W1" t="s">
        <v>55</v>
      </c>
      <c r="X1" t="s">
        <v>56</v>
      </c>
    </row>
    <row r="2" spans="1:24">
      <c r="A2">
        <v>0</v>
      </c>
      <c r="B2" t="s">
        <v>27</v>
      </c>
      <c r="C2" s="4">
        <v>6.6000000000000003E-2</v>
      </c>
      <c r="E2" t="s">
        <v>28</v>
      </c>
      <c r="F2" s="4">
        <v>8.3000000000000004E-2</v>
      </c>
      <c r="H2">
        <f t="shared" ref="H2:H10" si="0">(C2+F2)/2</f>
        <v>7.4500000000000011E-2</v>
      </c>
      <c r="I2" s="5">
        <f>H2-$H$2</f>
        <v>0</v>
      </c>
      <c r="K2" s="9" t="s">
        <v>59</v>
      </c>
      <c r="L2" s="7">
        <v>0</v>
      </c>
      <c r="M2" s="4">
        <v>1.79</v>
      </c>
      <c r="N2" s="4">
        <f>M2-$H$2</f>
        <v>1.7155</v>
      </c>
      <c r="O2" s="6">
        <f>(N2-0.0799)/0.0012</f>
        <v>1363</v>
      </c>
      <c r="P2">
        <f t="shared" ref="P2:P11" si="1">5*O2</f>
        <v>6815</v>
      </c>
      <c r="Q2" s="3">
        <f>P2*1</f>
        <v>6815</v>
      </c>
      <c r="S2" s="9" t="s">
        <v>60</v>
      </c>
      <c r="T2" s="4">
        <v>1.8979999999999999</v>
      </c>
      <c r="U2" s="4">
        <f>T2-$H$2</f>
        <v>1.8234999999999999</v>
      </c>
      <c r="V2" s="6">
        <f t="shared" ref="V2:V11" si="2">(U2-0.0799)/0.0012</f>
        <v>1453</v>
      </c>
      <c r="W2">
        <f t="shared" ref="W2:W11" si="3">5*V2</f>
        <v>7265</v>
      </c>
      <c r="X2" s="3">
        <f>W2*1</f>
        <v>7265</v>
      </c>
    </row>
    <row r="3" spans="1:24">
      <c r="A3">
        <v>25</v>
      </c>
      <c r="B3" t="s">
        <v>29</v>
      </c>
      <c r="C3" s="4">
        <v>0.126</v>
      </c>
      <c r="E3" t="s">
        <v>30</v>
      </c>
      <c r="F3" s="4">
        <v>0.109</v>
      </c>
      <c r="H3">
        <f t="shared" si="0"/>
        <v>0.11749999999999999</v>
      </c>
      <c r="I3" s="5">
        <f t="shared" ref="I3:I10" si="4">H3-$H$2</f>
        <v>4.2999999999999983E-2</v>
      </c>
      <c r="K3" s="9" t="s">
        <v>61</v>
      </c>
      <c r="L3" s="7">
        <v>10</v>
      </c>
      <c r="M3" s="4">
        <v>2.048</v>
      </c>
      <c r="N3" s="4">
        <f t="shared" ref="N3:N11" si="5">M3-$H$2</f>
        <v>1.9735</v>
      </c>
      <c r="O3" s="6">
        <f t="shared" ref="O3:O11" si="6">(N3-0.0799)/0.0012</f>
        <v>1578</v>
      </c>
      <c r="P3">
        <f t="shared" si="1"/>
        <v>7890</v>
      </c>
      <c r="Q3" s="3">
        <f t="shared" ref="Q3:Q11" si="7">P3*1</f>
        <v>7890</v>
      </c>
      <c r="S3" s="9" t="s">
        <v>62</v>
      </c>
      <c r="T3" s="4">
        <v>2.0880000000000001</v>
      </c>
      <c r="U3" s="4">
        <f t="shared" ref="U3:U11" si="8">T3-$H$2</f>
        <v>2.0135000000000001</v>
      </c>
      <c r="V3" s="6">
        <f t="shared" si="2"/>
        <v>1611.3333333333335</v>
      </c>
      <c r="W3">
        <f t="shared" si="3"/>
        <v>8056.6666666666679</v>
      </c>
      <c r="X3" s="3">
        <f t="shared" ref="X3:X11" si="9">W3*1</f>
        <v>8056.6666666666679</v>
      </c>
    </row>
    <row r="4" spans="1:24">
      <c r="A4">
        <v>50</v>
      </c>
      <c r="B4" t="s">
        <v>31</v>
      </c>
      <c r="C4" s="4">
        <v>0.13800000000000001</v>
      </c>
      <c r="E4" t="s">
        <v>32</v>
      </c>
      <c r="F4" s="4">
        <v>0.14599999999999999</v>
      </c>
      <c r="H4">
        <f t="shared" si="0"/>
        <v>0.14200000000000002</v>
      </c>
      <c r="I4" s="5">
        <f t="shared" si="4"/>
        <v>6.7500000000000004E-2</v>
      </c>
      <c r="K4" s="9" t="s">
        <v>63</v>
      </c>
      <c r="L4" s="7">
        <v>20</v>
      </c>
      <c r="M4" s="4">
        <v>0.98299999999999998</v>
      </c>
      <c r="N4" s="4">
        <f t="shared" si="5"/>
        <v>0.90849999999999997</v>
      </c>
      <c r="O4" s="6">
        <f t="shared" si="6"/>
        <v>690.50000000000011</v>
      </c>
      <c r="P4">
        <f t="shared" si="1"/>
        <v>3452.5000000000005</v>
      </c>
      <c r="Q4" s="3">
        <f t="shared" si="7"/>
        <v>3452.5000000000005</v>
      </c>
      <c r="S4" s="9" t="s">
        <v>64</v>
      </c>
      <c r="T4" s="4">
        <v>0.94099999999999995</v>
      </c>
      <c r="U4" s="4">
        <f t="shared" si="8"/>
        <v>0.86649999999999994</v>
      </c>
      <c r="V4" s="6">
        <f t="shared" si="2"/>
        <v>655.5</v>
      </c>
      <c r="W4">
        <f t="shared" si="3"/>
        <v>3277.5</v>
      </c>
      <c r="X4" s="3">
        <f t="shared" si="9"/>
        <v>3277.5</v>
      </c>
    </row>
    <row r="5" spans="1:24">
      <c r="A5">
        <v>100</v>
      </c>
      <c r="B5" t="s">
        <v>33</v>
      </c>
      <c r="C5" s="4">
        <v>0.19400000000000001</v>
      </c>
      <c r="E5" t="s">
        <v>34</v>
      </c>
      <c r="F5" s="4">
        <v>0.183</v>
      </c>
      <c r="H5">
        <f t="shared" si="0"/>
        <v>0.1885</v>
      </c>
      <c r="I5" s="5">
        <f t="shared" si="4"/>
        <v>0.11399999999999999</v>
      </c>
      <c r="K5" s="9" t="s">
        <v>65</v>
      </c>
      <c r="L5" s="7">
        <v>30</v>
      </c>
      <c r="M5" s="4">
        <v>1.272</v>
      </c>
      <c r="N5" s="4">
        <f t="shared" si="5"/>
        <v>1.1975</v>
      </c>
      <c r="O5" s="6">
        <f t="shared" si="6"/>
        <v>931.33333333333337</v>
      </c>
      <c r="P5">
        <f t="shared" si="1"/>
        <v>4656.666666666667</v>
      </c>
      <c r="Q5" s="3">
        <f t="shared" si="7"/>
        <v>4656.666666666667</v>
      </c>
      <c r="S5" s="9" t="s">
        <v>66</v>
      </c>
      <c r="T5" s="4">
        <v>0.63300000000000001</v>
      </c>
      <c r="U5" s="4">
        <f t="shared" si="8"/>
        <v>0.5585</v>
      </c>
      <c r="V5" s="6">
        <f t="shared" si="2"/>
        <v>398.83333333333337</v>
      </c>
      <c r="W5">
        <f t="shared" si="3"/>
        <v>1994.166666666667</v>
      </c>
      <c r="X5" s="3">
        <f t="shared" si="9"/>
        <v>1994.166666666667</v>
      </c>
    </row>
    <row r="6" spans="1:24">
      <c r="A6">
        <v>200</v>
      </c>
      <c r="B6" t="s">
        <v>35</v>
      </c>
      <c r="C6" s="4">
        <v>0.32800000000000001</v>
      </c>
      <c r="E6" t="s">
        <v>36</v>
      </c>
      <c r="F6" s="4">
        <v>0.29199999999999998</v>
      </c>
      <c r="H6">
        <f t="shared" si="0"/>
        <v>0.31</v>
      </c>
      <c r="I6" s="5">
        <f t="shared" si="4"/>
        <v>0.23549999999999999</v>
      </c>
      <c r="K6" s="9" t="s">
        <v>67</v>
      </c>
      <c r="L6" s="7">
        <v>45</v>
      </c>
      <c r="M6" s="4">
        <v>0.59399999999999997</v>
      </c>
      <c r="N6" s="4">
        <f t="shared" si="5"/>
        <v>0.51949999999999996</v>
      </c>
      <c r="O6" s="6">
        <f t="shared" si="6"/>
        <v>366.33333333333337</v>
      </c>
      <c r="P6">
        <f t="shared" si="1"/>
        <v>1831.666666666667</v>
      </c>
      <c r="Q6" s="3">
        <f t="shared" si="7"/>
        <v>1831.666666666667</v>
      </c>
      <c r="S6" s="9" t="s">
        <v>68</v>
      </c>
      <c r="T6" s="4">
        <v>0.59499999999999997</v>
      </c>
      <c r="U6" s="4">
        <f t="shared" si="8"/>
        <v>0.52049999999999996</v>
      </c>
      <c r="V6" s="6">
        <f t="shared" si="2"/>
        <v>367.16666666666669</v>
      </c>
      <c r="W6">
        <f t="shared" si="3"/>
        <v>1835.8333333333335</v>
      </c>
      <c r="X6" s="3">
        <f t="shared" si="9"/>
        <v>1835.8333333333335</v>
      </c>
    </row>
    <row r="7" spans="1:24">
      <c r="A7">
        <v>250</v>
      </c>
      <c r="B7" t="s">
        <v>37</v>
      </c>
      <c r="C7" s="4">
        <v>0.376</v>
      </c>
      <c r="E7" t="s">
        <v>38</v>
      </c>
      <c r="F7" s="4">
        <v>0.37</v>
      </c>
      <c r="H7">
        <f t="shared" si="0"/>
        <v>0.373</v>
      </c>
      <c r="I7" s="5">
        <f t="shared" si="4"/>
        <v>0.29849999999999999</v>
      </c>
      <c r="K7" s="9" t="s">
        <v>69</v>
      </c>
      <c r="L7" s="7">
        <v>60</v>
      </c>
      <c r="M7" s="4">
        <v>0.78800000000000003</v>
      </c>
      <c r="N7" s="4">
        <f t="shared" si="5"/>
        <v>0.71350000000000002</v>
      </c>
      <c r="O7" s="6">
        <f t="shared" si="6"/>
        <v>528.00000000000011</v>
      </c>
      <c r="P7">
        <f t="shared" si="1"/>
        <v>2640.0000000000005</v>
      </c>
      <c r="Q7" s="3">
        <f t="shared" si="7"/>
        <v>2640.0000000000005</v>
      </c>
      <c r="S7" s="9" t="s">
        <v>70</v>
      </c>
      <c r="T7" s="4">
        <v>0.83899999999999997</v>
      </c>
      <c r="U7" s="4">
        <f t="shared" si="8"/>
        <v>0.76449999999999996</v>
      </c>
      <c r="V7" s="6">
        <f t="shared" si="2"/>
        <v>570.5</v>
      </c>
      <c r="W7">
        <f t="shared" si="3"/>
        <v>2852.5</v>
      </c>
      <c r="X7" s="3">
        <f t="shared" si="9"/>
        <v>2852.5</v>
      </c>
    </row>
    <row r="8" spans="1:24">
      <c r="A8">
        <v>500</v>
      </c>
      <c r="B8" t="s">
        <v>39</v>
      </c>
      <c r="C8" s="4">
        <v>0.65300000000000002</v>
      </c>
      <c r="E8" t="s">
        <v>40</v>
      </c>
      <c r="F8" s="4">
        <v>0.64800000000000002</v>
      </c>
      <c r="H8">
        <f t="shared" si="0"/>
        <v>0.65050000000000008</v>
      </c>
      <c r="I8" s="5">
        <f t="shared" si="4"/>
        <v>0.57600000000000007</v>
      </c>
      <c r="K8" s="9" t="s">
        <v>71</v>
      </c>
      <c r="L8" s="7">
        <v>90</v>
      </c>
      <c r="M8" s="4">
        <v>0.52700000000000002</v>
      </c>
      <c r="N8" s="4">
        <f t="shared" si="5"/>
        <v>0.45250000000000001</v>
      </c>
      <c r="O8" s="6">
        <f t="shared" si="6"/>
        <v>310.50000000000006</v>
      </c>
      <c r="P8">
        <f t="shared" si="1"/>
        <v>1552.5000000000002</v>
      </c>
      <c r="Q8" s="3">
        <f t="shared" si="7"/>
        <v>1552.5000000000002</v>
      </c>
      <c r="S8" s="9" t="s">
        <v>72</v>
      </c>
      <c r="T8" s="4">
        <v>0.56299999999999994</v>
      </c>
      <c r="U8" s="4">
        <f t="shared" si="8"/>
        <v>0.48849999999999993</v>
      </c>
      <c r="V8" s="6">
        <f t="shared" si="2"/>
        <v>340.5</v>
      </c>
      <c r="W8">
        <f t="shared" si="3"/>
        <v>1702.5</v>
      </c>
      <c r="X8" s="3">
        <f t="shared" si="9"/>
        <v>1702.5</v>
      </c>
    </row>
    <row r="9" spans="1:24">
      <c r="A9">
        <v>750</v>
      </c>
      <c r="B9" t="s">
        <v>41</v>
      </c>
      <c r="C9" s="4">
        <v>0.94399999999999995</v>
      </c>
      <c r="E9" t="s">
        <v>42</v>
      </c>
      <c r="F9" s="4">
        <v>0.97199999999999998</v>
      </c>
      <c r="H9">
        <f t="shared" si="0"/>
        <v>0.95799999999999996</v>
      </c>
      <c r="I9" s="5">
        <f t="shared" si="4"/>
        <v>0.88349999999999995</v>
      </c>
      <c r="K9" s="9" t="s">
        <v>73</v>
      </c>
      <c r="L9" s="7">
        <v>120</v>
      </c>
      <c r="M9" s="4">
        <v>0.628</v>
      </c>
      <c r="N9" s="4">
        <f t="shared" si="5"/>
        <v>0.55349999999999999</v>
      </c>
      <c r="O9" s="6">
        <f t="shared" si="6"/>
        <v>394.66666666666674</v>
      </c>
      <c r="P9">
        <f t="shared" si="1"/>
        <v>1973.3333333333337</v>
      </c>
      <c r="Q9" s="3">
        <f t="shared" si="7"/>
        <v>1973.3333333333337</v>
      </c>
      <c r="S9" s="9" t="s">
        <v>74</v>
      </c>
      <c r="T9" s="4">
        <v>0.68300000000000005</v>
      </c>
      <c r="U9" s="4">
        <f t="shared" si="8"/>
        <v>0.60850000000000004</v>
      </c>
      <c r="V9" s="6">
        <f t="shared" si="2"/>
        <v>440.50000000000011</v>
      </c>
      <c r="W9">
        <f t="shared" si="3"/>
        <v>2202.5000000000005</v>
      </c>
      <c r="X9" s="3">
        <f t="shared" si="9"/>
        <v>2202.5000000000005</v>
      </c>
    </row>
    <row r="10" spans="1:24">
      <c r="A10">
        <v>1000</v>
      </c>
      <c r="B10" t="s">
        <v>43</v>
      </c>
      <c r="C10" s="4">
        <v>1.236</v>
      </c>
      <c r="E10" t="s">
        <v>44</v>
      </c>
      <c r="F10" s="4">
        <v>1.234</v>
      </c>
      <c r="H10">
        <f t="shared" si="0"/>
        <v>1.2349999999999999</v>
      </c>
      <c r="I10" s="5">
        <f t="shared" si="4"/>
        <v>1.1604999999999999</v>
      </c>
      <c r="K10" s="9" t="s">
        <v>75</v>
      </c>
      <c r="L10" s="7">
        <v>180</v>
      </c>
      <c r="M10" s="4">
        <v>1.0389999999999999</v>
      </c>
      <c r="N10" s="4">
        <f t="shared" si="5"/>
        <v>0.96449999999999991</v>
      </c>
      <c r="O10" s="6">
        <f t="shared" si="6"/>
        <v>737.16666666666663</v>
      </c>
      <c r="P10">
        <f t="shared" si="1"/>
        <v>3685.833333333333</v>
      </c>
      <c r="Q10" s="3">
        <f t="shared" si="7"/>
        <v>3685.833333333333</v>
      </c>
      <c r="S10" s="9" t="s">
        <v>76</v>
      </c>
      <c r="T10" s="4">
        <v>1.046</v>
      </c>
      <c r="U10" s="4">
        <f t="shared" si="8"/>
        <v>0.97150000000000003</v>
      </c>
      <c r="V10" s="6">
        <f t="shared" si="2"/>
        <v>743.00000000000011</v>
      </c>
      <c r="W10">
        <f t="shared" si="3"/>
        <v>3715.0000000000005</v>
      </c>
      <c r="X10" s="3">
        <f t="shared" si="9"/>
        <v>3715.0000000000005</v>
      </c>
    </row>
    <row r="11" spans="1:24">
      <c r="K11" s="9" t="s">
        <v>77</v>
      </c>
      <c r="L11" s="7">
        <v>240</v>
      </c>
      <c r="M11" s="4">
        <v>0.39700000000000002</v>
      </c>
      <c r="N11" s="4">
        <f t="shared" si="5"/>
        <v>0.32250000000000001</v>
      </c>
      <c r="O11" s="6">
        <f t="shared" si="6"/>
        <v>202.16666666666669</v>
      </c>
      <c r="P11">
        <f t="shared" si="1"/>
        <v>1010.8333333333335</v>
      </c>
      <c r="Q11" s="3">
        <f t="shared" si="7"/>
        <v>1010.8333333333335</v>
      </c>
      <c r="S11" s="9" t="s">
        <v>78</v>
      </c>
      <c r="T11" s="4">
        <v>0.42599999999999999</v>
      </c>
      <c r="U11" s="4">
        <f t="shared" si="8"/>
        <v>0.35149999999999998</v>
      </c>
      <c r="V11" s="6">
        <f t="shared" si="2"/>
        <v>226.33333333333331</v>
      </c>
      <c r="W11">
        <f t="shared" si="3"/>
        <v>1131.6666666666665</v>
      </c>
      <c r="X11" s="3">
        <f t="shared" si="9"/>
        <v>1131.6666666666665</v>
      </c>
    </row>
    <row r="12" spans="1:24">
      <c r="Q12" s="8" t="s">
        <v>79</v>
      </c>
    </row>
  </sheetData>
  <conditionalFormatting sqref="N2:N11 U2:U11">
    <cfRule type="cellIs" dxfId="0" priority="1" operator="greaterThan">
      <formula>$I$10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503E-094D-4E46-ADAC-95F0972DC787}">
  <dimension ref="B4:AU70"/>
  <sheetViews>
    <sheetView tabSelected="1" topLeftCell="BK66" zoomScale="60" zoomScaleNormal="60" workbookViewId="0">
      <selection activeCell="BM67" sqref="BM67"/>
    </sheetView>
  </sheetViews>
  <sheetFormatPr defaultColWidth="11.42578125" defaultRowHeight="14.45"/>
  <cols>
    <col min="2" max="2" width="7.7109375" bestFit="1" customWidth="1"/>
    <col min="3" max="3" width="9.5703125" bestFit="1" customWidth="1"/>
    <col min="4" max="4" width="10.85546875" bestFit="1" customWidth="1"/>
    <col min="5" max="5" width="15.5703125" bestFit="1" customWidth="1"/>
    <col min="7" max="7" width="12.42578125" bestFit="1" customWidth="1"/>
    <col min="8" max="8" width="11.140625" bestFit="1" customWidth="1"/>
    <col min="9" max="9" width="9.5703125" bestFit="1" customWidth="1"/>
    <col min="10" max="10" width="14.5703125" bestFit="1" customWidth="1"/>
    <col min="11" max="11" width="17.5703125" bestFit="1" customWidth="1"/>
    <col min="12" max="12" width="11.140625" bestFit="1" customWidth="1"/>
    <col min="13" max="13" width="9.5703125" bestFit="1" customWidth="1"/>
    <col min="14" max="14" width="14.5703125" bestFit="1" customWidth="1"/>
    <col min="15" max="15" width="17.5703125" bestFit="1" customWidth="1"/>
    <col min="16" max="16" width="11.140625" bestFit="1" customWidth="1"/>
    <col min="17" max="17" width="9.5703125" bestFit="1" customWidth="1"/>
    <col min="18" max="18" width="14.5703125" bestFit="1" customWidth="1"/>
    <col min="19" max="19" width="17.5703125" bestFit="1" customWidth="1"/>
    <col min="20" max="20" width="11.140625" bestFit="1" customWidth="1"/>
    <col min="21" max="21" width="9.5703125" bestFit="1" customWidth="1"/>
    <col min="22" max="22" width="14.5703125" bestFit="1" customWidth="1"/>
    <col min="23" max="23" width="17.5703125" bestFit="1" customWidth="1"/>
    <col min="24" max="24" width="11.140625" bestFit="1" customWidth="1"/>
    <col min="25" max="25" width="9.5703125" bestFit="1" customWidth="1"/>
    <col min="26" max="26" width="14.5703125" bestFit="1" customWidth="1"/>
    <col min="27" max="27" width="17.5703125" bestFit="1" customWidth="1"/>
    <col min="28" max="28" width="11.140625" bestFit="1" customWidth="1"/>
    <col min="29" max="29" width="9.5703125" bestFit="1" customWidth="1"/>
    <col min="30" max="30" width="14.5703125" bestFit="1" customWidth="1"/>
    <col min="31" max="31" width="17.5703125" bestFit="1" customWidth="1"/>
    <col min="32" max="32" width="11.140625" bestFit="1" customWidth="1"/>
    <col min="33" max="33" width="9.5703125" bestFit="1" customWidth="1"/>
    <col min="34" max="34" width="14.5703125" bestFit="1" customWidth="1"/>
    <col min="35" max="35" width="17.5703125" bestFit="1" customWidth="1"/>
    <col min="36" max="36" width="11.140625" bestFit="1" customWidth="1"/>
    <col min="37" max="37" width="9.5703125" bestFit="1" customWidth="1"/>
    <col min="38" max="38" width="14.5703125" bestFit="1" customWidth="1"/>
    <col min="39" max="39" width="17.5703125" bestFit="1" customWidth="1"/>
    <col min="40" max="40" width="11.140625" bestFit="1" customWidth="1"/>
    <col min="41" max="41" width="9.5703125" bestFit="1" customWidth="1"/>
    <col min="42" max="42" width="14.5703125" bestFit="1" customWidth="1"/>
    <col min="43" max="43" width="17.5703125" bestFit="1" customWidth="1"/>
    <col min="44" max="44" width="11.140625" bestFit="1" customWidth="1"/>
    <col min="45" max="45" width="9.5703125" bestFit="1" customWidth="1"/>
    <col min="46" max="46" width="14.5703125" bestFit="1" customWidth="1"/>
    <col min="47" max="47" width="17.5703125" bestFit="1" customWidth="1"/>
  </cols>
  <sheetData>
    <row r="4" spans="2:47" ht="15" thickBot="1"/>
    <row r="5" spans="2:47" ht="15" thickBot="1">
      <c r="B5" s="100" t="s">
        <v>0</v>
      </c>
      <c r="C5" s="101"/>
      <c r="D5" s="101"/>
      <c r="E5" s="102"/>
      <c r="F5" s="19"/>
      <c r="G5" s="19"/>
      <c r="H5" s="103" t="s">
        <v>1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5"/>
    </row>
    <row r="6" spans="2:47" ht="16.899999999999999" thickBot="1">
      <c r="B6" s="20" t="s">
        <v>2</v>
      </c>
      <c r="C6" s="21" t="s">
        <v>3</v>
      </c>
      <c r="D6" s="17" t="s">
        <v>4</v>
      </c>
      <c r="E6" s="18" t="s">
        <v>5</v>
      </c>
      <c r="F6" s="19"/>
      <c r="G6" s="19"/>
      <c r="H6" s="76" t="s">
        <v>6</v>
      </c>
      <c r="I6" s="77"/>
      <c r="J6" s="77"/>
      <c r="K6" s="78"/>
      <c r="L6" s="79" t="s">
        <v>7</v>
      </c>
      <c r="M6" s="80"/>
      <c r="N6" s="80"/>
      <c r="O6" s="81"/>
      <c r="P6" s="82" t="s">
        <v>80</v>
      </c>
      <c r="Q6" s="83"/>
      <c r="R6" s="83"/>
      <c r="S6" s="84"/>
      <c r="T6" s="85" t="s">
        <v>81</v>
      </c>
      <c r="U6" s="86"/>
      <c r="V6" s="86"/>
      <c r="W6" s="87"/>
      <c r="X6" s="88" t="s">
        <v>81</v>
      </c>
      <c r="Y6" s="89"/>
      <c r="Z6" s="89"/>
      <c r="AA6" s="90"/>
      <c r="AB6" s="91" t="s">
        <v>81</v>
      </c>
      <c r="AC6" s="92"/>
      <c r="AD6" s="92"/>
      <c r="AE6" s="93"/>
      <c r="AF6" s="94" t="s">
        <v>81</v>
      </c>
      <c r="AG6" s="95"/>
      <c r="AH6" s="95"/>
      <c r="AI6" s="96"/>
      <c r="AJ6" s="97" t="s">
        <v>81</v>
      </c>
      <c r="AK6" s="98"/>
      <c r="AL6" s="98"/>
      <c r="AM6" s="99"/>
      <c r="AN6" s="70" t="s">
        <v>81</v>
      </c>
      <c r="AO6" s="71"/>
      <c r="AP6" s="71"/>
      <c r="AQ6" s="72"/>
      <c r="AR6" s="73" t="s">
        <v>81</v>
      </c>
      <c r="AS6" s="74"/>
      <c r="AT6" s="74"/>
      <c r="AU6" s="75"/>
    </row>
    <row r="7" spans="2:47" ht="16.899999999999999" thickBot="1">
      <c r="B7" s="22">
        <v>0</v>
      </c>
      <c r="C7" s="23">
        <v>9.6000000000000002E-2</v>
      </c>
      <c r="D7" s="24">
        <v>8.4000000000000005E-2</v>
      </c>
      <c r="E7" s="25">
        <f>(C7+D7)/2</f>
        <v>0.09</v>
      </c>
      <c r="F7" s="19"/>
      <c r="G7" s="20" t="s">
        <v>16</v>
      </c>
      <c r="H7" s="16" t="s">
        <v>17</v>
      </c>
      <c r="I7" s="17" t="s">
        <v>3</v>
      </c>
      <c r="J7" s="17" t="s">
        <v>4</v>
      </c>
      <c r="K7" s="18" t="s">
        <v>5</v>
      </c>
      <c r="L7" s="21" t="s">
        <v>17</v>
      </c>
      <c r="M7" s="17" t="s">
        <v>3</v>
      </c>
      <c r="N7" s="17" t="s">
        <v>4</v>
      </c>
      <c r="O7" s="18" t="s">
        <v>5</v>
      </c>
      <c r="P7" s="16" t="s">
        <v>17</v>
      </c>
      <c r="Q7" s="17" t="s">
        <v>3</v>
      </c>
      <c r="R7" s="17" t="s">
        <v>4</v>
      </c>
      <c r="S7" s="18" t="s">
        <v>5</v>
      </c>
      <c r="T7" s="21" t="s">
        <v>17</v>
      </c>
      <c r="U7" s="17" t="s">
        <v>3</v>
      </c>
      <c r="V7" s="17" t="s">
        <v>4</v>
      </c>
      <c r="W7" s="18" t="s">
        <v>5</v>
      </c>
      <c r="X7" s="16" t="s">
        <v>17</v>
      </c>
      <c r="Y7" s="17" t="s">
        <v>3</v>
      </c>
      <c r="Z7" s="17" t="s">
        <v>4</v>
      </c>
      <c r="AA7" s="18" t="s">
        <v>5</v>
      </c>
      <c r="AB7" s="21" t="s">
        <v>17</v>
      </c>
      <c r="AC7" s="17" t="s">
        <v>3</v>
      </c>
      <c r="AD7" s="17" t="s">
        <v>4</v>
      </c>
      <c r="AE7" s="18" t="s">
        <v>5</v>
      </c>
      <c r="AF7" s="16" t="s">
        <v>17</v>
      </c>
      <c r="AG7" s="17" t="s">
        <v>3</v>
      </c>
      <c r="AH7" s="17" t="s">
        <v>4</v>
      </c>
      <c r="AI7" s="18" t="s">
        <v>5</v>
      </c>
      <c r="AJ7" s="21" t="s">
        <v>17</v>
      </c>
      <c r="AK7" s="17" t="s">
        <v>3</v>
      </c>
      <c r="AL7" s="17" t="s">
        <v>4</v>
      </c>
      <c r="AM7" s="18" t="s">
        <v>5</v>
      </c>
      <c r="AN7" s="16" t="s">
        <v>17</v>
      </c>
      <c r="AO7" s="17" t="s">
        <v>3</v>
      </c>
      <c r="AP7" s="17" t="s">
        <v>4</v>
      </c>
      <c r="AQ7" s="18" t="s">
        <v>5</v>
      </c>
      <c r="AR7" s="21" t="s">
        <v>17</v>
      </c>
      <c r="AS7" s="17" t="s">
        <v>3</v>
      </c>
      <c r="AT7" s="17" t="s">
        <v>4</v>
      </c>
      <c r="AU7" s="18" t="s">
        <v>5</v>
      </c>
    </row>
    <row r="8" spans="2:47">
      <c r="B8" s="26">
        <v>25</v>
      </c>
      <c r="C8" s="27">
        <v>0.152</v>
      </c>
      <c r="D8" s="28">
        <v>0.13600000000000001</v>
      </c>
      <c r="E8" s="29">
        <f t="shared" ref="E8:E15" si="0">(C8+D8)/2</f>
        <v>0.14400000000000002</v>
      </c>
      <c r="F8" s="19"/>
      <c r="G8" s="10">
        <v>0</v>
      </c>
      <c r="H8" s="30">
        <v>0.53</v>
      </c>
      <c r="I8" s="24">
        <v>7.9000000000000001E-2</v>
      </c>
      <c r="J8" s="24">
        <v>6.7000000000000004E-2</v>
      </c>
      <c r="K8" s="25">
        <f>(I8+J8)/2</f>
        <v>7.3000000000000009E-2</v>
      </c>
      <c r="L8" s="23">
        <v>1.73</v>
      </c>
      <c r="M8" s="24">
        <v>0.13700000000000001</v>
      </c>
      <c r="N8" s="24">
        <v>0.14699999999999999</v>
      </c>
      <c r="O8" s="25">
        <f>(M8+N8)/2</f>
        <v>0.14200000000000002</v>
      </c>
      <c r="P8" s="30">
        <v>1.32</v>
      </c>
      <c r="Q8" s="24">
        <v>0.23300000000000001</v>
      </c>
      <c r="R8" s="24">
        <v>0.20799999999999999</v>
      </c>
      <c r="S8" s="25">
        <f t="shared" ref="S8:S18" si="1">(Q8+R8)/2</f>
        <v>0.2205</v>
      </c>
      <c r="T8" s="23"/>
      <c r="U8" s="24"/>
      <c r="V8" s="24"/>
      <c r="W8" s="25">
        <f t="shared" ref="W8:W18" si="2">(U8+V8)/2</f>
        <v>0</v>
      </c>
      <c r="X8" s="30"/>
      <c r="Y8" s="24"/>
      <c r="Z8" s="24"/>
      <c r="AA8" s="25">
        <f t="shared" ref="AA8:AA18" si="3">(Y8+Z8)/2</f>
        <v>0</v>
      </c>
      <c r="AB8" s="23"/>
      <c r="AC8" s="24"/>
      <c r="AD8" s="24"/>
      <c r="AE8" s="25">
        <f>(AC8+AD8)/2</f>
        <v>0</v>
      </c>
      <c r="AF8" s="30"/>
      <c r="AG8" s="24"/>
      <c r="AH8" s="24"/>
      <c r="AI8" s="25">
        <f>(AG8+AH8)/2</f>
        <v>0</v>
      </c>
      <c r="AJ8" s="23"/>
      <c r="AK8" s="24"/>
      <c r="AL8" s="24"/>
      <c r="AM8" s="25">
        <f>(AK8+AL8)/2</f>
        <v>0</v>
      </c>
      <c r="AN8" s="30"/>
      <c r="AO8" s="24"/>
      <c r="AP8" s="24"/>
      <c r="AQ8" s="25">
        <f>(AO8+AP8)/2</f>
        <v>0</v>
      </c>
      <c r="AR8" s="23"/>
      <c r="AS8" s="24"/>
      <c r="AT8" s="24"/>
      <c r="AU8" s="25">
        <f>(AS8+AT8)/2</f>
        <v>0</v>
      </c>
    </row>
    <row r="9" spans="2:47">
      <c r="B9" s="26">
        <v>50</v>
      </c>
      <c r="C9" s="27">
        <v>0.21199999999999999</v>
      </c>
      <c r="D9" s="28">
        <v>0.16400000000000001</v>
      </c>
      <c r="E9" s="29">
        <f t="shared" si="0"/>
        <v>0.188</v>
      </c>
      <c r="F9" s="19"/>
      <c r="G9" s="11">
        <v>10</v>
      </c>
      <c r="H9" s="31">
        <v>0.33</v>
      </c>
      <c r="I9" s="28">
        <v>7.4999999999999997E-2</v>
      </c>
      <c r="J9" s="28">
        <v>9.1999999999999998E-2</v>
      </c>
      <c r="K9" s="29">
        <f t="shared" ref="K9:K18" si="4">(I9+J9)/2</f>
        <v>8.3499999999999991E-2</v>
      </c>
      <c r="L9" s="27">
        <v>1.75</v>
      </c>
      <c r="M9" s="28">
        <v>0.16300000000000001</v>
      </c>
      <c r="N9" s="28">
        <v>0.122</v>
      </c>
      <c r="O9" s="29">
        <f t="shared" ref="O9:O18" si="5">(M9+N9)/2</f>
        <v>0.14250000000000002</v>
      </c>
      <c r="P9" s="31">
        <v>1.45</v>
      </c>
      <c r="Q9" s="28">
        <v>0.193</v>
      </c>
      <c r="R9" s="28">
        <v>0.16600000000000001</v>
      </c>
      <c r="S9" s="29">
        <f t="shared" si="1"/>
        <v>0.17949999999999999</v>
      </c>
      <c r="T9" s="27"/>
      <c r="U9" s="28"/>
      <c r="V9" s="28"/>
      <c r="W9" s="29">
        <f t="shared" si="2"/>
        <v>0</v>
      </c>
      <c r="X9" s="31"/>
      <c r="Y9" s="28"/>
      <c r="Z9" s="28"/>
      <c r="AA9" s="29">
        <f t="shared" si="3"/>
        <v>0</v>
      </c>
      <c r="AB9" s="27"/>
      <c r="AC9" s="28"/>
      <c r="AD9" s="28"/>
      <c r="AE9" s="29">
        <f t="shared" ref="AE9:AE18" si="6">(AC9+AD9)/2</f>
        <v>0</v>
      </c>
      <c r="AF9" s="31"/>
      <c r="AG9" s="28"/>
      <c r="AH9" s="28"/>
      <c r="AI9" s="29">
        <f t="shared" ref="AI9:AI18" si="7">(AG9+AH9)/2</f>
        <v>0</v>
      </c>
      <c r="AJ9" s="27"/>
      <c r="AK9" s="28"/>
      <c r="AL9" s="28"/>
      <c r="AM9" s="29">
        <f t="shared" ref="AM9:AM18" si="8">(AK9+AL9)/2</f>
        <v>0</v>
      </c>
      <c r="AN9" s="31"/>
      <c r="AO9" s="28"/>
      <c r="AP9" s="28"/>
      <c r="AQ9" s="29">
        <f t="shared" ref="AQ9:AQ18" si="9">(AO9+AP9)/2</f>
        <v>0</v>
      </c>
      <c r="AR9" s="27"/>
      <c r="AS9" s="28"/>
      <c r="AT9" s="28"/>
      <c r="AU9" s="29">
        <f t="shared" ref="AU9:AU18" si="10">(AS9+AT9)/2</f>
        <v>0</v>
      </c>
    </row>
    <row r="10" spans="2:47">
      <c r="B10" s="26">
        <v>100</v>
      </c>
      <c r="C10" s="27">
        <v>0.23899999999999999</v>
      </c>
      <c r="D10" s="28">
        <v>0.26</v>
      </c>
      <c r="E10" s="29">
        <f t="shared" si="0"/>
        <v>0.2495</v>
      </c>
      <c r="F10" s="19"/>
      <c r="G10" s="11">
        <v>20</v>
      </c>
      <c r="H10" s="31">
        <v>0.4</v>
      </c>
      <c r="I10" s="28">
        <v>0.159</v>
      </c>
      <c r="J10" s="51">
        <v>0.159</v>
      </c>
      <c r="K10" s="29">
        <f t="shared" si="4"/>
        <v>0.159</v>
      </c>
      <c r="L10" s="27">
        <v>1.86</v>
      </c>
      <c r="M10" s="28">
        <v>0.33500000000000002</v>
      </c>
      <c r="N10" s="28">
        <v>0.35199999999999998</v>
      </c>
      <c r="O10" s="29">
        <f t="shared" si="5"/>
        <v>0.34350000000000003</v>
      </c>
      <c r="P10" s="31">
        <v>1.29</v>
      </c>
      <c r="Q10" s="28">
        <v>0.159</v>
      </c>
      <c r="R10" s="28">
        <v>0.14799999999999999</v>
      </c>
      <c r="S10" s="29">
        <f t="shared" si="1"/>
        <v>0.1535</v>
      </c>
      <c r="T10" s="27"/>
      <c r="U10" s="28"/>
      <c r="V10" s="28"/>
      <c r="W10" s="29">
        <f t="shared" si="2"/>
        <v>0</v>
      </c>
      <c r="X10" s="31"/>
      <c r="Y10" s="28"/>
      <c r="Z10" s="28"/>
      <c r="AA10" s="29">
        <f t="shared" si="3"/>
        <v>0</v>
      </c>
      <c r="AB10" s="27"/>
      <c r="AC10" s="28"/>
      <c r="AD10" s="28"/>
      <c r="AE10" s="29">
        <f t="shared" si="6"/>
        <v>0</v>
      </c>
      <c r="AF10" s="31"/>
      <c r="AG10" s="28"/>
      <c r="AH10" s="28"/>
      <c r="AI10" s="29">
        <f t="shared" si="7"/>
        <v>0</v>
      </c>
      <c r="AJ10" s="27"/>
      <c r="AK10" s="28"/>
      <c r="AL10" s="28"/>
      <c r="AM10" s="29">
        <f t="shared" si="8"/>
        <v>0</v>
      </c>
      <c r="AN10" s="31"/>
      <c r="AO10" s="28"/>
      <c r="AP10" s="28"/>
      <c r="AQ10" s="29">
        <f t="shared" si="9"/>
        <v>0</v>
      </c>
      <c r="AR10" s="27"/>
      <c r="AS10" s="28"/>
      <c r="AT10" s="28"/>
      <c r="AU10" s="29">
        <f t="shared" si="10"/>
        <v>0</v>
      </c>
    </row>
    <row r="11" spans="2:47">
      <c r="B11" s="26">
        <v>200</v>
      </c>
      <c r="C11" s="27">
        <v>0.44900000000000001</v>
      </c>
      <c r="D11" s="28">
        <v>0.38300000000000001</v>
      </c>
      <c r="E11" s="29">
        <f t="shared" si="0"/>
        <v>0.41600000000000004</v>
      </c>
      <c r="F11" s="19"/>
      <c r="G11" s="11">
        <v>30</v>
      </c>
      <c r="H11" s="31">
        <v>1</v>
      </c>
      <c r="I11" s="51">
        <v>0.23100000000000001</v>
      </c>
      <c r="J11" s="28">
        <v>0.23100000000000001</v>
      </c>
      <c r="K11" s="29">
        <f t="shared" si="4"/>
        <v>0.23100000000000001</v>
      </c>
      <c r="L11" s="27">
        <v>1.69</v>
      </c>
      <c r="M11" s="28">
        <v>9.4E-2</v>
      </c>
      <c r="N11" s="28">
        <v>0.09</v>
      </c>
      <c r="O11" s="29">
        <f t="shared" si="5"/>
        <v>9.1999999999999998E-2</v>
      </c>
      <c r="P11" s="31">
        <v>1.28</v>
      </c>
      <c r="Q11" s="28">
        <v>0.20799999999999999</v>
      </c>
      <c r="R11" s="28">
        <v>0.17899999999999999</v>
      </c>
      <c r="S11" s="29">
        <f t="shared" si="1"/>
        <v>0.19350000000000001</v>
      </c>
      <c r="T11" s="27"/>
      <c r="U11" s="28"/>
      <c r="V11" s="28"/>
      <c r="W11" s="29">
        <f t="shared" si="2"/>
        <v>0</v>
      </c>
      <c r="X11" s="31"/>
      <c r="Y11" s="28"/>
      <c r="Z11" s="28"/>
      <c r="AA11" s="29">
        <f t="shared" si="3"/>
        <v>0</v>
      </c>
      <c r="AB11" s="27"/>
      <c r="AC11" s="28"/>
      <c r="AD11" s="28"/>
      <c r="AE11" s="29">
        <f t="shared" si="6"/>
        <v>0</v>
      </c>
      <c r="AF11" s="31"/>
      <c r="AG11" s="28"/>
      <c r="AH11" s="28"/>
      <c r="AI11" s="29">
        <f t="shared" si="7"/>
        <v>0</v>
      </c>
      <c r="AJ11" s="27"/>
      <c r="AK11" s="28"/>
      <c r="AL11" s="28"/>
      <c r="AM11" s="29">
        <f t="shared" si="8"/>
        <v>0</v>
      </c>
      <c r="AN11" s="31"/>
      <c r="AO11" s="28"/>
      <c r="AP11" s="28"/>
      <c r="AQ11" s="29">
        <f t="shared" si="9"/>
        <v>0</v>
      </c>
      <c r="AR11" s="27"/>
      <c r="AS11" s="28"/>
      <c r="AT11" s="28"/>
      <c r="AU11" s="29">
        <f t="shared" si="10"/>
        <v>0</v>
      </c>
    </row>
    <row r="12" spans="2:47">
      <c r="B12" s="26">
        <v>250</v>
      </c>
      <c r="C12" s="27">
        <v>0.40600000000000003</v>
      </c>
      <c r="D12" s="28">
        <v>0.40100000000000002</v>
      </c>
      <c r="E12" s="29">
        <f t="shared" si="0"/>
        <v>0.40350000000000003</v>
      </c>
      <c r="F12" s="19"/>
      <c r="G12" s="11">
        <v>60</v>
      </c>
      <c r="H12" s="31">
        <v>0.46</v>
      </c>
      <c r="I12" s="28">
        <v>0.34799999999999998</v>
      </c>
      <c r="J12" s="51">
        <v>0.34799999999999998</v>
      </c>
      <c r="K12" s="29">
        <f>(I12+J12)/2</f>
        <v>0.34799999999999998</v>
      </c>
      <c r="L12" s="27">
        <v>0.82</v>
      </c>
      <c r="M12" s="28">
        <v>0.10100000000000001</v>
      </c>
      <c r="N12" s="28">
        <v>0.09</v>
      </c>
      <c r="O12" s="29">
        <f t="shared" si="5"/>
        <v>9.5500000000000002E-2</v>
      </c>
      <c r="P12" s="31">
        <v>1.46</v>
      </c>
      <c r="Q12" s="28">
        <v>0.17299999999999999</v>
      </c>
      <c r="R12" s="28">
        <v>0.15</v>
      </c>
      <c r="S12" s="29">
        <f t="shared" si="1"/>
        <v>0.16149999999999998</v>
      </c>
      <c r="T12" s="27"/>
      <c r="U12" s="28"/>
      <c r="V12" s="28"/>
      <c r="W12" s="29">
        <f t="shared" si="2"/>
        <v>0</v>
      </c>
      <c r="X12" s="31"/>
      <c r="Y12" s="28"/>
      <c r="Z12" s="28"/>
      <c r="AA12" s="29">
        <f t="shared" si="3"/>
        <v>0</v>
      </c>
      <c r="AB12" s="27"/>
      <c r="AC12" s="28"/>
      <c r="AD12" s="28"/>
      <c r="AE12" s="29">
        <f t="shared" si="6"/>
        <v>0</v>
      </c>
      <c r="AF12" s="31"/>
      <c r="AG12" s="28"/>
      <c r="AH12" s="28"/>
      <c r="AI12" s="29">
        <f t="shared" si="7"/>
        <v>0</v>
      </c>
      <c r="AJ12" s="27"/>
      <c r="AK12" s="28"/>
      <c r="AL12" s="28"/>
      <c r="AM12" s="29">
        <f t="shared" si="8"/>
        <v>0</v>
      </c>
      <c r="AN12" s="31"/>
      <c r="AO12" s="28"/>
      <c r="AP12" s="28"/>
      <c r="AQ12" s="29">
        <f t="shared" si="9"/>
        <v>0</v>
      </c>
      <c r="AR12" s="27"/>
      <c r="AS12" s="28"/>
      <c r="AT12" s="28"/>
      <c r="AU12" s="29">
        <f t="shared" si="10"/>
        <v>0</v>
      </c>
    </row>
    <row r="13" spans="2:47">
      <c r="B13" s="26">
        <v>500</v>
      </c>
      <c r="C13" s="27">
        <v>0.76500000000000001</v>
      </c>
      <c r="D13" s="28">
        <v>0.76</v>
      </c>
      <c r="E13" s="29">
        <f t="shared" si="0"/>
        <v>0.76249999999999996</v>
      </c>
      <c r="F13" s="19"/>
      <c r="G13" s="11">
        <v>90</v>
      </c>
      <c r="H13" s="31">
        <v>0.42</v>
      </c>
      <c r="I13" s="28">
        <v>8.5999999999999993E-2</v>
      </c>
      <c r="J13" s="28">
        <v>7.1999999999999995E-2</v>
      </c>
      <c r="K13" s="29">
        <f t="shared" si="4"/>
        <v>7.8999999999999987E-2</v>
      </c>
      <c r="L13" s="27">
        <v>1.21</v>
      </c>
      <c r="M13" s="28">
        <v>0.1</v>
      </c>
      <c r="N13" s="28">
        <v>9.4E-2</v>
      </c>
      <c r="O13" s="29">
        <f t="shared" si="5"/>
        <v>9.7000000000000003E-2</v>
      </c>
      <c r="P13" s="31">
        <v>1.24</v>
      </c>
      <c r="Q13" s="28">
        <v>0.14000000000000001</v>
      </c>
      <c r="R13" s="28">
        <v>0.108</v>
      </c>
      <c r="S13" s="29">
        <f t="shared" si="1"/>
        <v>0.124</v>
      </c>
      <c r="T13" s="27"/>
      <c r="U13" s="28"/>
      <c r="V13" s="28"/>
      <c r="W13" s="29">
        <f t="shared" si="2"/>
        <v>0</v>
      </c>
      <c r="X13" s="31"/>
      <c r="Y13" s="28"/>
      <c r="Z13" s="28"/>
      <c r="AA13" s="29">
        <f t="shared" si="3"/>
        <v>0</v>
      </c>
      <c r="AB13" s="27"/>
      <c r="AC13" s="28"/>
      <c r="AD13" s="28"/>
      <c r="AE13" s="29">
        <f t="shared" si="6"/>
        <v>0</v>
      </c>
      <c r="AF13" s="31"/>
      <c r="AG13" s="28"/>
      <c r="AH13" s="28"/>
      <c r="AI13" s="29">
        <f t="shared" si="7"/>
        <v>0</v>
      </c>
      <c r="AJ13" s="27"/>
      <c r="AK13" s="28"/>
      <c r="AL13" s="28"/>
      <c r="AM13" s="29">
        <f t="shared" si="8"/>
        <v>0</v>
      </c>
      <c r="AN13" s="31"/>
      <c r="AO13" s="28"/>
      <c r="AP13" s="28"/>
      <c r="AQ13" s="29">
        <f t="shared" si="9"/>
        <v>0</v>
      </c>
      <c r="AR13" s="27"/>
      <c r="AS13" s="28"/>
      <c r="AT13" s="28"/>
      <c r="AU13" s="29">
        <f t="shared" si="10"/>
        <v>0</v>
      </c>
    </row>
    <row r="14" spans="2:47">
      <c r="B14" s="26">
        <v>750</v>
      </c>
      <c r="C14" s="27">
        <v>1.0389999999999999</v>
      </c>
      <c r="D14" s="28">
        <v>1.0820000000000001</v>
      </c>
      <c r="E14" s="29">
        <f t="shared" si="0"/>
        <v>1.0605</v>
      </c>
      <c r="F14" s="19"/>
      <c r="G14" s="11">
        <v>120</v>
      </c>
      <c r="H14" s="31">
        <v>0.57999999999999996</v>
      </c>
      <c r="I14" s="28">
        <v>7.9000000000000001E-2</v>
      </c>
      <c r="J14" s="28">
        <v>8.1000000000000003E-2</v>
      </c>
      <c r="K14" s="29">
        <f t="shared" si="4"/>
        <v>0.08</v>
      </c>
      <c r="L14" s="27">
        <v>1.36</v>
      </c>
      <c r="M14" s="28">
        <v>9.5000000000000001E-2</v>
      </c>
      <c r="N14" s="28">
        <v>8.1000000000000003E-2</v>
      </c>
      <c r="O14" s="29">
        <f t="shared" si="5"/>
        <v>8.7999999999999995E-2</v>
      </c>
      <c r="P14" s="31">
        <v>1.43</v>
      </c>
      <c r="Q14" s="28">
        <v>0.23100000000000001</v>
      </c>
      <c r="R14" s="28">
        <v>0.22800000000000001</v>
      </c>
      <c r="S14" s="29">
        <f t="shared" si="1"/>
        <v>0.22950000000000001</v>
      </c>
      <c r="T14" s="27"/>
      <c r="U14" s="28"/>
      <c r="V14" s="28"/>
      <c r="W14" s="29">
        <f t="shared" si="2"/>
        <v>0</v>
      </c>
      <c r="X14" s="31"/>
      <c r="Y14" s="28"/>
      <c r="Z14" s="28"/>
      <c r="AA14" s="29">
        <f t="shared" si="3"/>
        <v>0</v>
      </c>
      <c r="AB14" s="27"/>
      <c r="AC14" s="28"/>
      <c r="AD14" s="28"/>
      <c r="AE14" s="29">
        <f t="shared" si="6"/>
        <v>0</v>
      </c>
      <c r="AF14" s="31"/>
      <c r="AG14" s="28"/>
      <c r="AH14" s="28"/>
      <c r="AI14" s="29">
        <f t="shared" si="7"/>
        <v>0</v>
      </c>
      <c r="AJ14" s="27"/>
      <c r="AK14" s="28"/>
      <c r="AL14" s="28"/>
      <c r="AM14" s="29">
        <f t="shared" si="8"/>
        <v>0</v>
      </c>
      <c r="AN14" s="31"/>
      <c r="AO14" s="28"/>
      <c r="AP14" s="28"/>
      <c r="AQ14" s="29">
        <f t="shared" si="9"/>
        <v>0</v>
      </c>
      <c r="AR14" s="27"/>
      <c r="AS14" s="28"/>
      <c r="AT14" s="28"/>
      <c r="AU14" s="29">
        <f t="shared" si="10"/>
        <v>0</v>
      </c>
    </row>
    <row r="15" spans="2:47" ht="15" thickBot="1">
      <c r="B15" s="32">
        <v>1000</v>
      </c>
      <c r="C15" s="33">
        <v>1.3620000000000001</v>
      </c>
      <c r="D15" s="34">
        <v>1.38</v>
      </c>
      <c r="E15" s="35">
        <f t="shared" si="0"/>
        <v>1.371</v>
      </c>
      <c r="F15" s="19"/>
      <c r="G15" s="11">
        <v>150</v>
      </c>
      <c r="H15" s="31">
        <v>0.53</v>
      </c>
      <c r="I15" s="28">
        <v>8.7999999999999995E-2</v>
      </c>
      <c r="J15" s="28">
        <v>9.4E-2</v>
      </c>
      <c r="K15" s="29">
        <f t="shared" si="4"/>
        <v>9.0999999999999998E-2</v>
      </c>
      <c r="L15" s="27">
        <v>0.89</v>
      </c>
      <c r="M15" s="28">
        <v>9.1999999999999998E-2</v>
      </c>
      <c r="N15" s="28">
        <v>8.5999999999999993E-2</v>
      </c>
      <c r="O15" s="29">
        <f t="shared" si="5"/>
        <v>8.8999999999999996E-2</v>
      </c>
      <c r="P15" s="31">
        <v>1.1100000000000001</v>
      </c>
      <c r="Q15" s="28">
        <v>0.16700000000000001</v>
      </c>
      <c r="R15" s="28">
        <v>0.17399999999999999</v>
      </c>
      <c r="S15" s="29">
        <f t="shared" si="1"/>
        <v>0.17049999999999998</v>
      </c>
      <c r="T15" s="27"/>
      <c r="U15" s="28"/>
      <c r="V15" s="28"/>
      <c r="W15" s="29">
        <f t="shared" si="2"/>
        <v>0</v>
      </c>
      <c r="X15" s="31"/>
      <c r="Y15" s="28"/>
      <c r="Z15" s="28"/>
      <c r="AA15" s="29">
        <f t="shared" si="3"/>
        <v>0</v>
      </c>
      <c r="AB15" s="27"/>
      <c r="AC15" s="28"/>
      <c r="AD15" s="28"/>
      <c r="AE15" s="29">
        <f t="shared" si="6"/>
        <v>0</v>
      </c>
      <c r="AF15" s="31"/>
      <c r="AG15" s="28"/>
      <c r="AH15" s="28"/>
      <c r="AI15" s="29">
        <f t="shared" si="7"/>
        <v>0</v>
      </c>
      <c r="AJ15" s="27"/>
      <c r="AK15" s="28"/>
      <c r="AL15" s="28"/>
      <c r="AM15" s="29">
        <f t="shared" si="8"/>
        <v>0</v>
      </c>
      <c r="AN15" s="31"/>
      <c r="AO15" s="28"/>
      <c r="AP15" s="28"/>
      <c r="AQ15" s="29">
        <f t="shared" si="9"/>
        <v>0</v>
      </c>
      <c r="AR15" s="27"/>
      <c r="AS15" s="28"/>
      <c r="AT15" s="28"/>
      <c r="AU15" s="29">
        <f t="shared" si="10"/>
        <v>0</v>
      </c>
    </row>
    <row r="16" spans="2:47">
      <c r="B16" s="19"/>
      <c r="C16" s="19"/>
      <c r="D16" s="36" t="s">
        <v>18</v>
      </c>
      <c r="E16" s="37" t="s">
        <v>19</v>
      </c>
      <c r="F16" s="19"/>
      <c r="G16" s="11">
        <v>180</v>
      </c>
      <c r="H16" s="31">
        <v>0.56999999999999995</v>
      </c>
      <c r="I16" s="28">
        <v>0.108</v>
      </c>
      <c r="J16" s="28">
        <v>0.112</v>
      </c>
      <c r="K16" s="29">
        <f t="shared" si="4"/>
        <v>0.11</v>
      </c>
      <c r="L16" s="27">
        <v>1.25</v>
      </c>
      <c r="M16" s="28">
        <v>9.6000000000000002E-2</v>
      </c>
      <c r="N16" s="28">
        <v>7.1999999999999995E-2</v>
      </c>
      <c r="O16" s="29">
        <f t="shared" si="5"/>
        <v>8.3999999999999991E-2</v>
      </c>
      <c r="P16" s="31">
        <v>1.44</v>
      </c>
      <c r="Q16" s="28">
        <v>0.14199999999999999</v>
      </c>
      <c r="R16" s="28">
        <v>0.16200000000000001</v>
      </c>
      <c r="S16" s="29">
        <f t="shared" si="1"/>
        <v>0.152</v>
      </c>
      <c r="T16" s="27"/>
      <c r="U16" s="28"/>
      <c r="V16" s="28"/>
      <c r="W16" s="29">
        <f t="shared" si="2"/>
        <v>0</v>
      </c>
      <c r="X16" s="31"/>
      <c r="Y16" s="28"/>
      <c r="Z16" s="28"/>
      <c r="AA16" s="29">
        <f t="shared" si="3"/>
        <v>0</v>
      </c>
      <c r="AB16" s="27"/>
      <c r="AC16" s="28"/>
      <c r="AD16" s="28"/>
      <c r="AE16" s="29">
        <f t="shared" si="6"/>
        <v>0</v>
      </c>
      <c r="AF16" s="31"/>
      <c r="AG16" s="28"/>
      <c r="AH16" s="28"/>
      <c r="AI16" s="29">
        <f t="shared" si="7"/>
        <v>0</v>
      </c>
      <c r="AJ16" s="27"/>
      <c r="AK16" s="28"/>
      <c r="AL16" s="28"/>
      <c r="AM16" s="29">
        <f t="shared" si="8"/>
        <v>0</v>
      </c>
      <c r="AN16" s="31"/>
      <c r="AO16" s="28"/>
      <c r="AP16" s="28"/>
      <c r="AQ16" s="29">
        <f t="shared" si="9"/>
        <v>0</v>
      </c>
      <c r="AR16" s="27"/>
      <c r="AS16" s="28"/>
      <c r="AT16" s="28"/>
      <c r="AU16" s="29">
        <f t="shared" si="10"/>
        <v>0</v>
      </c>
    </row>
    <row r="17" spans="2:47" ht="15" thickBot="1">
      <c r="B17" s="19"/>
      <c r="C17" s="19"/>
      <c r="D17" s="38">
        <f>SLOPE(E20:E27,D20:D27)</f>
        <v>1.2496307289393276E-3</v>
      </c>
      <c r="E17" s="39">
        <f>INTERCEPT(E20:E27,D20:D27)</f>
        <v>3.528895678742916E-2</v>
      </c>
      <c r="F17" s="19"/>
      <c r="G17" s="11"/>
      <c r="H17" s="31"/>
      <c r="I17" s="28"/>
      <c r="J17" s="28"/>
      <c r="K17" s="29">
        <f t="shared" si="4"/>
        <v>0</v>
      </c>
      <c r="L17" s="27"/>
      <c r="M17" s="28"/>
      <c r="N17" s="28"/>
      <c r="O17" s="29">
        <f t="shared" si="5"/>
        <v>0</v>
      </c>
      <c r="P17" s="31"/>
      <c r="Q17" s="28"/>
      <c r="R17" s="28"/>
      <c r="S17" s="29">
        <f t="shared" si="1"/>
        <v>0</v>
      </c>
      <c r="T17" s="27"/>
      <c r="U17" s="28"/>
      <c r="V17" s="28"/>
      <c r="W17" s="29">
        <f t="shared" si="2"/>
        <v>0</v>
      </c>
      <c r="X17" s="31"/>
      <c r="Y17" s="28"/>
      <c r="Z17" s="28"/>
      <c r="AA17" s="29">
        <f t="shared" si="3"/>
        <v>0</v>
      </c>
      <c r="AB17" s="27"/>
      <c r="AC17" s="28"/>
      <c r="AD17" s="28"/>
      <c r="AE17" s="29">
        <f t="shared" si="6"/>
        <v>0</v>
      </c>
      <c r="AF17" s="31"/>
      <c r="AG17" s="28"/>
      <c r="AH17" s="28"/>
      <c r="AI17" s="29">
        <f t="shared" si="7"/>
        <v>0</v>
      </c>
      <c r="AJ17" s="27"/>
      <c r="AK17" s="28"/>
      <c r="AL17" s="28"/>
      <c r="AM17" s="29">
        <f t="shared" si="8"/>
        <v>0</v>
      </c>
      <c r="AN17" s="31"/>
      <c r="AO17" s="28"/>
      <c r="AP17" s="28"/>
      <c r="AQ17" s="29">
        <f t="shared" si="9"/>
        <v>0</v>
      </c>
      <c r="AR17" s="27"/>
      <c r="AS17" s="28"/>
      <c r="AT17" s="28"/>
      <c r="AU17" s="29">
        <f t="shared" si="10"/>
        <v>0</v>
      </c>
    </row>
    <row r="18" spans="2:47" ht="15" thickBot="1">
      <c r="B18" s="19"/>
      <c r="C18" s="19"/>
      <c r="D18" s="19"/>
      <c r="E18" s="19"/>
      <c r="F18" s="19"/>
      <c r="G18" s="12"/>
      <c r="H18" s="38"/>
      <c r="I18" s="40"/>
      <c r="J18" s="40"/>
      <c r="K18" s="39">
        <f t="shared" si="4"/>
        <v>0</v>
      </c>
      <c r="L18" s="33"/>
      <c r="M18" s="40"/>
      <c r="N18" s="40"/>
      <c r="O18" s="39">
        <f t="shared" si="5"/>
        <v>0</v>
      </c>
      <c r="P18" s="38"/>
      <c r="Q18" s="40"/>
      <c r="R18" s="40"/>
      <c r="S18" s="39">
        <f t="shared" si="1"/>
        <v>0</v>
      </c>
      <c r="T18" s="33"/>
      <c r="U18" s="40"/>
      <c r="V18" s="40"/>
      <c r="W18" s="39">
        <f t="shared" si="2"/>
        <v>0</v>
      </c>
      <c r="X18" s="38"/>
      <c r="Y18" s="40"/>
      <c r="Z18" s="40"/>
      <c r="AA18" s="39">
        <f t="shared" si="3"/>
        <v>0</v>
      </c>
      <c r="AB18" s="33"/>
      <c r="AC18" s="40"/>
      <c r="AD18" s="40"/>
      <c r="AE18" s="39">
        <f t="shared" si="6"/>
        <v>0</v>
      </c>
      <c r="AF18" s="38"/>
      <c r="AG18" s="40"/>
      <c r="AH18" s="40"/>
      <c r="AI18" s="39">
        <f t="shared" si="7"/>
        <v>0</v>
      </c>
      <c r="AJ18" s="33"/>
      <c r="AK18" s="40"/>
      <c r="AL18" s="40"/>
      <c r="AM18" s="39">
        <f t="shared" si="8"/>
        <v>0</v>
      </c>
      <c r="AN18" s="38"/>
      <c r="AO18" s="40"/>
      <c r="AP18" s="40"/>
      <c r="AQ18" s="39">
        <f t="shared" si="9"/>
        <v>0</v>
      </c>
      <c r="AR18" s="33"/>
      <c r="AS18" s="40"/>
      <c r="AT18" s="40"/>
      <c r="AU18" s="39">
        <f t="shared" si="10"/>
        <v>0</v>
      </c>
    </row>
    <row r="19" spans="2:47" ht="16.899999999999999" thickBot="1">
      <c r="B19" s="19"/>
      <c r="C19" s="19"/>
      <c r="D19" s="20" t="s">
        <v>2</v>
      </c>
      <c r="E19" s="18" t="s">
        <v>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2:47" ht="15" thickBot="1">
      <c r="B20" s="19"/>
      <c r="C20" s="19"/>
      <c r="D20" s="26">
        <v>25</v>
      </c>
      <c r="E20" s="29">
        <f>E8-$E$7</f>
        <v>5.400000000000002E-2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2:47" ht="15" thickBot="1">
      <c r="B21" s="19"/>
      <c r="C21" s="19"/>
      <c r="D21" s="26">
        <v>50</v>
      </c>
      <c r="E21" s="29">
        <f t="shared" ref="E21:E27" si="11">E9-$E$7</f>
        <v>9.8000000000000004E-2</v>
      </c>
      <c r="F21" s="19"/>
      <c r="G21" s="19"/>
      <c r="H21" s="76" t="str">
        <f t="shared" ref="H21" si="12">H6</f>
        <v>CONTROL + (M9)</v>
      </c>
      <c r="I21" s="77"/>
      <c r="J21" s="77"/>
      <c r="K21" s="78"/>
      <c r="L21" s="79" t="str">
        <f t="shared" ref="L21" si="13">L6</f>
        <v>CONTROL - (LB)</v>
      </c>
      <c r="M21" s="80"/>
      <c r="N21" s="80"/>
      <c r="O21" s="81"/>
      <c r="P21" s="82" t="str">
        <f t="shared" ref="P21" si="14">P6</f>
        <v>MEDIO SINTÉTICO ESTÁNDAR</v>
      </c>
      <c r="Q21" s="83"/>
      <c r="R21" s="83"/>
      <c r="S21" s="84"/>
      <c r="T21" s="85" t="str">
        <f t="shared" ref="T21" si="15">T6</f>
        <v>-</v>
      </c>
      <c r="U21" s="86"/>
      <c r="V21" s="86"/>
      <c r="W21" s="87"/>
      <c r="X21" s="88" t="str">
        <f t="shared" ref="X21" si="16">X6</f>
        <v>-</v>
      </c>
      <c r="Y21" s="89"/>
      <c r="Z21" s="89"/>
      <c r="AA21" s="90"/>
      <c r="AB21" s="91" t="str">
        <f t="shared" ref="AB21" si="17">AB6</f>
        <v>-</v>
      </c>
      <c r="AC21" s="92"/>
      <c r="AD21" s="92"/>
      <c r="AE21" s="93"/>
      <c r="AF21" s="94" t="str">
        <f t="shared" ref="AF21" si="18">AF6</f>
        <v>-</v>
      </c>
      <c r="AG21" s="95"/>
      <c r="AH21" s="95"/>
      <c r="AI21" s="96"/>
      <c r="AJ21" s="97" t="str">
        <f t="shared" ref="AJ21" si="19">AJ6</f>
        <v>-</v>
      </c>
      <c r="AK21" s="98"/>
      <c r="AL21" s="98"/>
      <c r="AM21" s="99"/>
      <c r="AN21" s="70" t="str">
        <f t="shared" ref="AN21" si="20">AN6</f>
        <v>-</v>
      </c>
      <c r="AO21" s="71"/>
      <c r="AP21" s="71"/>
      <c r="AQ21" s="72"/>
      <c r="AR21" s="73" t="str">
        <f>AR6</f>
        <v>-</v>
      </c>
      <c r="AS21" s="74"/>
      <c r="AT21" s="74"/>
      <c r="AU21" s="75"/>
    </row>
    <row r="22" spans="2:47" ht="16.899999999999999" thickBot="1">
      <c r="B22" s="19"/>
      <c r="C22" s="19"/>
      <c r="D22" s="26">
        <v>100</v>
      </c>
      <c r="E22" s="29">
        <f t="shared" si="11"/>
        <v>0.1595</v>
      </c>
      <c r="F22" s="19"/>
      <c r="G22" s="20" t="s">
        <v>16</v>
      </c>
      <c r="H22" s="41" t="s">
        <v>17</v>
      </c>
      <c r="I22" s="42" t="s">
        <v>2</v>
      </c>
      <c r="J22" s="42" t="s">
        <v>20</v>
      </c>
      <c r="K22" s="43" t="s">
        <v>21</v>
      </c>
      <c r="L22" s="41" t="s">
        <v>17</v>
      </c>
      <c r="M22" s="42" t="s">
        <v>2</v>
      </c>
      <c r="N22" s="42" t="s">
        <v>20</v>
      </c>
      <c r="O22" s="42" t="s">
        <v>21</v>
      </c>
      <c r="P22" s="49" t="s">
        <v>17</v>
      </c>
      <c r="Q22" s="42" t="s">
        <v>2</v>
      </c>
      <c r="R22" s="42" t="s">
        <v>20</v>
      </c>
      <c r="S22" s="43" t="s">
        <v>21</v>
      </c>
      <c r="T22" s="41" t="s">
        <v>17</v>
      </c>
      <c r="U22" s="42" t="s">
        <v>2</v>
      </c>
      <c r="V22" s="42" t="s">
        <v>20</v>
      </c>
      <c r="W22" s="42" t="s">
        <v>21</v>
      </c>
      <c r="X22" s="49" t="s">
        <v>17</v>
      </c>
      <c r="Y22" s="42" t="s">
        <v>2</v>
      </c>
      <c r="Z22" s="42" t="s">
        <v>20</v>
      </c>
      <c r="AA22" s="43" t="s">
        <v>21</v>
      </c>
      <c r="AB22" s="41" t="s">
        <v>17</v>
      </c>
      <c r="AC22" s="42" t="s">
        <v>2</v>
      </c>
      <c r="AD22" s="42" t="s">
        <v>20</v>
      </c>
      <c r="AE22" s="42" t="s">
        <v>21</v>
      </c>
      <c r="AF22" s="49" t="s">
        <v>17</v>
      </c>
      <c r="AG22" s="42" t="s">
        <v>2</v>
      </c>
      <c r="AH22" s="42" t="s">
        <v>20</v>
      </c>
      <c r="AI22" s="43" t="s">
        <v>21</v>
      </c>
      <c r="AJ22" s="41" t="s">
        <v>17</v>
      </c>
      <c r="AK22" s="42" t="s">
        <v>2</v>
      </c>
      <c r="AL22" s="42" t="s">
        <v>20</v>
      </c>
      <c r="AM22" s="42" t="s">
        <v>21</v>
      </c>
      <c r="AN22" s="49" t="s">
        <v>17</v>
      </c>
      <c r="AO22" s="42" t="s">
        <v>2</v>
      </c>
      <c r="AP22" s="42" t="s">
        <v>20</v>
      </c>
      <c r="AQ22" s="43" t="s">
        <v>21</v>
      </c>
      <c r="AR22" s="41" t="s">
        <v>17</v>
      </c>
      <c r="AS22" s="42" t="s">
        <v>2</v>
      </c>
      <c r="AT22" s="43" t="s">
        <v>20</v>
      </c>
      <c r="AU22" s="20" t="s">
        <v>21</v>
      </c>
    </row>
    <row r="23" spans="2:47">
      <c r="B23" s="19"/>
      <c r="C23" s="19"/>
      <c r="D23" s="26">
        <v>200</v>
      </c>
      <c r="E23" s="29">
        <f t="shared" si="11"/>
        <v>0.32600000000000007</v>
      </c>
      <c r="F23" s="19"/>
      <c r="G23" s="13">
        <v>0</v>
      </c>
      <c r="H23" s="36">
        <f>H8</f>
        <v>0.53</v>
      </c>
      <c r="I23" s="28">
        <f t="shared" ref="I23:I33" si="21">(K8-$E$17)/$D$17</f>
        <v>30.177749585735263</v>
      </c>
      <c r="J23" s="44">
        <f>I23*100</f>
        <v>3017.7749585735264</v>
      </c>
      <c r="K23" s="45">
        <f>J23/H23</f>
        <v>5693.9150161764646</v>
      </c>
      <c r="L23" s="36">
        <f>L8</f>
        <v>1.73</v>
      </c>
      <c r="M23" s="44">
        <f>(O8-$E$17)/$D$17</f>
        <v>85.394061414563623</v>
      </c>
      <c r="N23" s="44">
        <f>M23*100</f>
        <v>8539.4061414563621</v>
      </c>
      <c r="O23" s="37">
        <f>N23/L23</f>
        <v>4936.0729141366255</v>
      </c>
      <c r="P23" s="50">
        <f>P8</f>
        <v>1.32</v>
      </c>
      <c r="Q23" s="44">
        <f>(S8-$E$17)/$D$17</f>
        <v>148.21261907489733</v>
      </c>
      <c r="R23" s="44">
        <f>Q23*100</f>
        <v>14821.261907489734</v>
      </c>
      <c r="S23" s="45">
        <f>R23/P23</f>
        <v>11228.228717795253</v>
      </c>
      <c r="T23" s="36">
        <f>T8</f>
        <v>0</v>
      </c>
      <c r="U23" s="44">
        <f>(W8-$E$17)/$D$17</f>
        <v>-28.239507856358514</v>
      </c>
      <c r="V23" s="44">
        <f>U23*100</f>
        <v>-2823.9507856358514</v>
      </c>
      <c r="W23" s="37" t="e">
        <f>V23/T23</f>
        <v>#DIV/0!</v>
      </c>
      <c r="X23" s="50">
        <f>X8</f>
        <v>0</v>
      </c>
      <c r="Y23" s="44">
        <f>(AA8-$E$17)/$D$17</f>
        <v>-28.239507856358514</v>
      </c>
      <c r="Z23" s="44">
        <f>Y23*100</f>
        <v>-2823.9507856358514</v>
      </c>
      <c r="AA23" s="45" t="e">
        <f>Z23/X23</f>
        <v>#DIV/0!</v>
      </c>
      <c r="AB23" s="36">
        <f>AB8</f>
        <v>0</v>
      </c>
      <c r="AC23" s="44">
        <f>(AE8-$E$17)/$D$17</f>
        <v>-28.239507856358514</v>
      </c>
      <c r="AD23" s="44">
        <f>AC23*100</f>
        <v>-2823.9507856358514</v>
      </c>
      <c r="AE23" s="37" t="e">
        <f>AD23/AB23</f>
        <v>#DIV/0!</v>
      </c>
      <c r="AF23" s="50">
        <f>AF8</f>
        <v>0</v>
      </c>
      <c r="AG23" s="44">
        <f>(AI8-$E$17)/$D$17</f>
        <v>-28.239507856358514</v>
      </c>
      <c r="AH23" s="44">
        <f>AG23*100</f>
        <v>-2823.9507856358514</v>
      </c>
      <c r="AI23" s="45" t="e">
        <f>AH23/AF23</f>
        <v>#DIV/0!</v>
      </c>
      <c r="AJ23" s="36">
        <f>AJ8</f>
        <v>0</v>
      </c>
      <c r="AK23" s="44">
        <f>(AM8-$E$17)/$D$17</f>
        <v>-28.239507856358514</v>
      </c>
      <c r="AL23" s="44">
        <f>AK23*100</f>
        <v>-2823.9507856358514</v>
      </c>
      <c r="AM23" s="37" t="e">
        <f>AL23/AJ23</f>
        <v>#DIV/0!</v>
      </c>
      <c r="AN23" s="50">
        <f>AN8</f>
        <v>0</v>
      </c>
      <c r="AO23" s="44">
        <f>(AQ8-$E$17)/$D$17</f>
        <v>-28.239507856358514</v>
      </c>
      <c r="AP23" s="44">
        <f>AO23*100</f>
        <v>-2823.9507856358514</v>
      </c>
      <c r="AQ23" s="45" t="e">
        <f>AP23/AN23</f>
        <v>#DIV/0!</v>
      </c>
      <c r="AR23" s="36">
        <f>AR8</f>
        <v>0</v>
      </c>
      <c r="AS23" s="44">
        <f>(AU8-$E$17)/$D$17</f>
        <v>-28.239507856358514</v>
      </c>
      <c r="AT23" s="45">
        <f>AS23*100</f>
        <v>-2823.9507856358514</v>
      </c>
      <c r="AU23" s="46" t="e">
        <f>AT23/AR23</f>
        <v>#DIV/0!</v>
      </c>
    </row>
    <row r="24" spans="2:47">
      <c r="B24" s="19"/>
      <c r="C24" s="19"/>
      <c r="D24" s="26">
        <v>250</v>
      </c>
      <c r="E24" s="29">
        <f t="shared" si="11"/>
        <v>0.3135</v>
      </c>
      <c r="F24" s="19"/>
      <c r="G24" s="14">
        <v>10</v>
      </c>
      <c r="H24" s="31">
        <f t="shared" ref="H24:H33" si="22">H9</f>
        <v>0.33</v>
      </c>
      <c r="I24" s="28">
        <f t="shared" si="21"/>
        <v>38.580231820556953</v>
      </c>
      <c r="J24" s="28">
        <f t="shared" ref="J24:J33" si="23">I24*100</f>
        <v>3858.0231820556955</v>
      </c>
      <c r="K24" s="47">
        <f t="shared" ref="K24:K33" si="24">J24/H24</f>
        <v>11690.979339562713</v>
      </c>
      <c r="L24" s="31">
        <f t="shared" ref="L24:L33" si="25">L9</f>
        <v>1.75</v>
      </c>
      <c r="M24" s="28">
        <f t="shared" ref="M24:M33" si="26">(O9-$E$17)/$D$17</f>
        <v>85.794179616221811</v>
      </c>
      <c r="N24" s="28">
        <f t="shared" ref="N24:N33" si="27">M24*100</f>
        <v>8579.4179616221809</v>
      </c>
      <c r="O24" s="29">
        <f t="shared" ref="O24:O33" si="28">N24/L24</f>
        <v>4902.5245494983892</v>
      </c>
      <c r="P24" s="27">
        <f t="shared" ref="P24:P33" si="29">P9</f>
        <v>1.45</v>
      </c>
      <c r="Q24" s="28">
        <f t="shared" ref="Q24:Q33" si="30">(S9-$E$17)/$D$17</f>
        <v>115.40292653892685</v>
      </c>
      <c r="R24" s="28">
        <f t="shared" ref="R24:R33" si="31">Q24*100</f>
        <v>11540.292653892684</v>
      </c>
      <c r="S24" s="47">
        <f t="shared" ref="S24:S33" si="32">R24/P24</f>
        <v>7958.8225199259896</v>
      </c>
      <c r="T24" s="31">
        <f t="shared" ref="T24:T33" si="33">T9</f>
        <v>0</v>
      </c>
      <c r="U24" s="28">
        <f t="shared" ref="U24:U33" si="34">(W9-$E$17)/$D$17</f>
        <v>-28.239507856358514</v>
      </c>
      <c r="V24" s="28">
        <f t="shared" ref="V24:V33" si="35">U24*100</f>
        <v>-2823.9507856358514</v>
      </c>
      <c r="W24" s="29" t="e">
        <f t="shared" ref="W24:W33" si="36">V24/T24</f>
        <v>#DIV/0!</v>
      </c>
      <c r="X24" s="27">
        <f t="shared" ref="X24:X33" si="37">X9</f>
        <v>0</v>
      </c>
      <c r="Y24" s="28">
        <f t="shared" ref="Y24:Y33" si="38">(AA9-$E$17)/$D$17</f>
        <v>-28.239507856358514</v>
      </c>
      <c r="Z24" s="28">
        <f t="shared" ref="Z24:Z33" si="39">Y24*100</f>
        <v>-2823.9507856358514</v>
      </c>
      <c r="AA24" s="47" t="e">
        <f t="shared" ref="AA24:AA33" si="40">Z24/X24</f>
        <v>#DIV/0!</v>
      </c>
      <c r="AB24" s="31">
        <f t="shared" ref="AB24:AB33" si="41">AB9</f>
        <v>0</v>
      </c>
      <c r="AC24" s="28">
        <f t="shared" ref="AC24:AC33" si="42">(AE9-$E$17)/$D$17</f>
        <v>-28.239507856358514</v>
      </c>
      <c r="AD24" s="28">
        <f t="shared" ref="AD24:AD33" si="43">AC24*100</f>
        <v>-2823.9507856358514</v>
      </c>
      <c r="AE24" s="29" t="e">
        <f t="shared" ref="AE24:AE33" si="44">AD24/AB24</f>
        <v>#DIV/0!</v>
      </c>
      <c r="AF24" s="27">
        <f t="shared" ref="AF24:AF33" si="45">AF9</f>
        <v>0</v>
      </c>
      <c r="AG24" s="28">
        <f t="shared" ref="AG24:AG33" si="46">(AI9-$E$17)/$D$17</f>
        <v>-28.239507856358514</v>
      </c>
      <c r="AH24" s="28">
        <f t="shared" ref="AH24:AH33" si="47">AG24*100</f>
        <v>-2823.9507856358514</v>
      </c>
      <c r="AI24" s="47" t="e">
        <f t="shared" ref="AI24:AI33" si="48">AH24/AF24</f>
        <v>#DIV/0!</v>
      </c>
      <c r="AJ24" s="31">
        <f t="shared" ref="AJ24:AJ33" si="49">AJ9</f>
        <v>0</v>
      </c>
      <c r="AK24" s="28">
        <f t="shared" ref="AK24:AK33" si="50">(AM9-$E$17)/$D$17</f>
        <v>-28.239507856358514</v>
      </c>
      <c r="AL24" s="28">
        <f t="shared" ref="AL24:AL33" si="51">AK24*100</f>
        <v>-2823.9507856358514</v>
      </c>
      <c r="AM24" s="29" t="e">
        <f t="shared" ref="AM24:AM33" si="52">AL24/AJ24</f>
        <v>#DIV/0!</v>
      </c>
      <c r="AN24" s="27">
        <f t="shared" ref="AN24:AN33" si="53">AN9</f>
        <v>0</v>
      </c>
      <c r="AO24" s="28">
        <f t="shared" ref="AO24:AO33" si="54">(AQ9-$E$17)/$D$17</f>
        <v>-28.239507856358514</v>
      </c>
      <c r="AP24" s="28">
        <f t="shared" ref="AP24:AP33" si="55">AO24*100</f>
        <v>-2823.9507856358514</v>
      </c>
      <c r="AQ24" s="47" t="e">
        <f t="shared" ref="AQ24:AQ33" si="56">AP24/AN24</f>
        <v>#DIV/0!</v>
      </c>
      <c r="AR24" s="31">
        <f t="shared" ref="AR24:AR33" si="57">AR9</f>
        <v>0</v>
      </c>
      <c r="AS24" s="28">
        <f t="shared" ref="AS24:AS33" si="58">(AU9-$E$17)/$D$17</f>
        <v>-28.239507856358514</v>
      </c>
      <c r="AT24" s="47">
        <f t="shared" ref="AT24:AT33" si="59">AS24*100</f>
        <v>-2823.9507856358514</v>
      </c>
      <c r="AU24" s="26" t="e">
        <f t="shared" ref="AU24:AU33" si="60">AT24/AR24</f>
        <v>#DIV/0!</v>
      </c>
    </row>
    <row r="25" spans="2:47">
      <c r="B25" s="19"/>
      <c r="C25" s="19"/>
      <c r="D25" s="26">
        <v>500</v>
      </c>
      <c r="E25" s="29">
        <f t="shared" si="11"/>
        <v>0.67249999999999999</v>
      </c>
      <c r="F25" s="19"/>
      <c r="G25" s="14">
        <v>20</v>
      </c>
      <c r="H25" s="31">
        <f t="shared" si="22"/>
        <v>0.4</v>
      </c>
      <c r="I25" s="28">
        <f t="shared" si="21"/>
        <v>98.998080270941628</v>
      </c>
      <c r="J25" s="28">
        <f t="shared" si="23"/>
        <v>9899.8080270941628</v>
      </c>
      <c r="K25" s="47">
        <f t="shared" si="24"/>
        <v>24749.520067735404</v>
      </c>
      <c r="L25" s="31">
        <f t="shared" si="25"/>
        <v>1.86</v>
      </c>
      <c r="M25" s="28">
        <f t="shared" si="26"/>
        <v>246.64169668280877</v>
      </c>
      <c r="N25" s="28">
        <f t="shared" si="27"/>
        <v>24664.169668280876</v>
      </c>
      <c r="O25" s="29">
        <f t="shared" si="28"/>
        <v>13260.306273269287</v>
      </c>
      <c r="P25" s="27">
        <f t="shared" si="29"/>
        <v>1.29</v>
      </c>
      <c r="Q25" s="28">
        <f t="shared" si="30"/>
        <v>94.596780052701675</v>
      </c>
      <c r="R25" s="28">
        <f t="shared" si="31"/>
        <v>9459.678005270167</v>
      </c>
      <c r="S25" s="47">
        <f t="shared" si="32"/>
        <v>7333.0837250156328</v>
      </c>
      <c r="T25" s="31">
        <f t="shared" si="33"/>
        <v>0</v>
      </c>
      <c r="U25" s="28">
        <f t="shared" si="34"/>
        <v>-28.239507856358514</v>
      </c>
      <c r="V25" s="28">
        <f t="shared" si="35"/>
        <v>-2823.9507856358514</v>
      </c>
      <c r="W25" s="29" t="e">
        <f t="shared" si="36"/>
        <v>#DIV/0!</v>
      </c>
      <c r="X25" s="27">
        <f t="shared" si="37"/>
        <v>0</v>
      </c>
      <c r="Y25" s="28">
        <f t="shared" si="38"/>
        <v>-28.239507856358514</v>
      </c>
      <c r="Z25" s="28">
        <f t="shared" si="39"/>
        <v>-2823.9507856358514</v>
      </c>
      <c r="AA25" s="47" t="e">
        <f t="shared" si="40"/>
        <v>#DIV/0!</v>
      </c>
      <c r="AB25" s="31">
        <f t="shared" si="41"/>
        <v>0</v>
      </c>
      <c r="AC25" s="28">
        <f t="shared" si="42"/>
        <v>-28.239507856358514</v>
      </c>
      <c r="AD25" s="28">
        <f t="shared" si="43"/>
        <v>-2823.9507856358514</v>
      </c>
      <c r="AE25" s="29" t="e">
        <f t="shared" si="44"/>
        <v>#DIV/0!</v>
      </c>
      <c r="AF25" s="27">
        <f t="shared" si="45"/>
        <v>0</v>
      </c>
      <c r="AG25" s="28">
        <f t="shared" si="46"/>
        <v>-28.239507856358514</v>
      </c>
      <c r="AH25" s="28">
        <f t="shared" si="47"/>
        <v>-2823.9507856358514</v>
      </c>
      <c r="AI25" s="47" t="e">
        <f t="shared" si="48"/>
        <v>#DIV/0!</v>
      </c>
      <c r="AJ25" s="31">
        <f t="shared" si="49"/>
        <v>0</v>
      </c>
      <c r="AK25" s="28">
        <f t="shared" si="50"/>
        <v>-28.239507856358514</v>
      </c>
      <c r="AL25" s="28">
        <f t="shared" si="51"/>
        <v>-2823.9507856358514</v>
      </c>
      <c r="AM25" s="29" t="e">
        <f t="shared" si="52"/>
        <v>#DIV/0!</v>
      </c>
      <c r="AN25" s="27">
        <f t="shared" si="53"/>
        <v>0</v>
      </c>
      <c r="AO25" s="28">
        <f t="shared" si="54"/>
        <v>-28.239507856358514</v>
      </c>
      <c r="AP25" s="28">
        <f t="shared" si="55"/>
        <v>-2823.9507856358514</v>
      </c>
      <c r="AQ25" s="47" t="e">
        <f t="shared" si="56"/>
        <v>#DIV/0!</v>
      </c>
      <c r="AR25" s="31">
        <f t="shared" si="57"/>
        <v>0</v>
      </c>
      <c r="AS25" s="28">
        <f t="shared" si="58"/>
        <v>-28.239507856358514</v>
      </c>
      <c r="AT25" s="47">
        <f t="shared" si="59"/>
        <v>-2823.9507856358514</v>
      </c>
      <c r="AU25" s="26" t="e">
        <f t="shared" si="60"/>
        <v>#DIV/0!</v>
      </c>
    </row>
    <row r="26" spans="2:47">
      <c r="B26" s="19"/>
      <c r="C26" s="19"/>
      <c r="D26" s="26">
        <v>750</v>
      </c>
      <c r="E26" s="29">
        <f t="shared" si="11"/>
        <v>0.97050000000000003</v>
      </c>
      <c r="F26" s="19"/>
      <c r="G26" s="14">
        <v>30</v>
      </c>
      <c r="H26" s="31">
        <f t="shared" si="22"/>
        <v>1</v>
      </c>
      <c r="I26" s="28">
        <f t="shared" si="21"/>
        <v>156.61510130971905</v>
      </c>
      <c r="J26" s="28">
        <f t="shared" si="23"/>
        <v>15661.510130971905</v>
      </c>
      <c r="K26" s="47">
        <f t="shared" si="24"/>
        <v>15661.510130971905</v>
      </c>
      <c r="L26" s="31">
        <f t="shared" si="25"/>
        <v>1.69</v>
      </c>
      <c r="M26" s="28">
        <f t="shared" si="26"/>
        <v>45.382241248745963</v>
      </c>
      <c r="N26" s="28">
        <f t="shared" si="27"/>
        <v>4538.2241248745959</v>
      </c>
      <c r="O26" s="29">
        <f t="shared" si="28"/>
        <v>2685.3397188607078</v>
      </c>
      <c r="P26" s="27">
        <f t="shared" si="29"/>
        <v>1.28</v>
      </c>
      <c r="Q26" s="28">
        <f t="shared" si="30"/>
        <v>126.6062361853558</v>
      </c>
      <c r="R26" s="28">
        <f t="shared" si="31"/>
        <v>12660.623618535579</v>
      </c>
      <c r="S26" s="47">
        <f t="shared" si="32"/>
        <v>9891.1122019809209</v>
      </c>
      <c r="T26" s="31">
        <f t="shared" si="33"/>
        <v>0</v>
      </c>
      <c r="U26" s="28">
        <f t="shared" si="34"/>
        <v>-28.239507856358514</v>
      </c>
      <c r="V26" s="28">
        <f t="shared" si="35"/>
        <v>-2823.9507856358514</v>
      </c>
      <c r="W26" s="29" t="e">
        <f t="shared" si="36"/>
        <v>#DIV/0!</v>
      </c>
      <c r="X26" s="27">
        <f t="shared" si="37"/>
        <v>0</v>
      </c>
      <c r="Y26" s="28">
        <f t="shared" si="38"/>
        <v>-28.239507856358514</v>
      </c>
      <c r="Z26" s="28">
        <f t="shared" si="39"/>
        <v>-2823.9507856358514</v>
      </c>
      <c r="AA26" s="47" t="e">
        <f t="shared" si="40"/>
        <v>#DIV/0!</v>
      </c>
      <c r="AB26" s="31">
        <f t="shared" si="41"/>
        <v>0</v>
      </c>
      <c r="AC26" s="28">
        <f t="shared" si="42"/>
        <v>-28.239507856358514</v>
      </c>
      <c r="AD26" s="28">
        <f t="shared" si="43"/>
        <v>-2823.9507856358514</v>
      </c>
      <c r="AE26" s="29" t="e">
        <f t="shared" si="44"/>
        <v>#DIV/0!</v>
      </c>
      <c r="AF26" s="27">
        <f t="shared" si="45"/>
        <v>0</v>
      </c>
      <c r="AG26" s="28">
        <f t="shared" si="46"/>
        <v>-28.239507856358514</v>
      </c>
      <c r="AH26" s="28">
        <f t="shared" si="47"/>
        <v>-2823.9507856358514</v>
      </c>
      <c r="AI26" s="47" t="e">
        <f t="shared" si="48"/>
        <v>#DIV/0!</v>
      </c>
      <c r="AJ26" s="31">
        <f t="shared" si="49"/>
        <v>0</v>
      </c>
      <c r="AK26" s="28">
        <f t="shared" si="50"/>
        <v>-28.239507856358514</v>
      </c>
      <c r="AL26" s="28">
        <f t="shared" si="51"/>
        <v>-2823.9507856358514</v>
      </c>
      <c r="AM26" s="29" t="e">
        <f t="shared" si="52"/>
        <v>#DIV/0!</v>
      </c>
      <c r="AN26" s="27">
        <f t="shared" si="53"/>
        <v>0</v>
      </c>
      <c r="AO26" s="28">
        <f t="shared" si="54"/>
        <v>-28.239507856358514</v>
      </c>
      <c r="AP26" s="28">
        <f t="shared" si="55"/>
        <v>-2823.9507856358514</v>
      </c>
      <c r="AQ26" s="47" t="e">
        <f t="shared" si="56"/>
        <v>#DIV/0!</v>
      </c>
      <c r="AR26" s="31">
        <f t="shared" si="57"/>
        <v>0</v>
      </c>
      <c r="AS26" s="28">
        <f t="shared" si="58"/>
        <v>-28.239507856358514</v>
      </c>
      <c r="AT26" s="47">
        <f t="shared" si="59"/>
        <v>-2823.9507856358514</v>
      </c>
      <c r="AU26" s="26" t="e">
        <f t="shared" si="60"/>
        <v>#DIV/0!</v>
      </c>
    </row>
    <row r="27" spans="2:47" ht="15" thickBot="1">
      <c r="B27" s="19"/>
      <c r="C27" s="19"/>
      <c r="D27" s="32">
        <v>1000</v>
      </c>
      <c r="E27" s="39">
        <f t="shared" si="11"/>
        <v>1.2809999999999999</v>
      </c>
      <c r="F27" s="19"/>
      <c r="G27" s="14">
        <v>60</v>
      </c>
      <c r="H27" s="31">
        <f t="shared" si="22"/>
        <v>0.46</v>
      </c>
      <c r="I27" s="28">
        <f t="shared" si="21"/>
        <v>250.24276049773232</v>
      </c>
      <c r="J27" s="28">
        <f t="shared" si="23"/>
        <v>25024.276049773231</v>
      </c>
      <c r="K27" s="47">
        <f t="shared" si="24"/>
        <v>54400.600108202671</v>
      </c>
      <c r="L27" s="31">
        <f t="shared" si="25"/>
        <v>0.82</v>
      </c>
      <c r="M27" s="28">
        <f t="shared" si="26"/>
        <v>48.1830686603532</v>
      </c>
      <c r="N27" s="28">
        <f t="shared" si="27"/>
        <v>4818.3068660353201</v>
      </c>
      <c r="O27" s="29">
        <f t="shared" si="28"/>
        <v>5875.9839829699031</v>
      </c>
      <c r="P27" s="27">
        <f t="shared" si="29"/>
        <v>1.46</v>
      </c>
      <c r="Q27" s="28">
        <f t="shared" si="30"/>
        <v>100.99867127923248</v>
      </c>
      <c r="R27" s="28">
        <f t="shared" si="31"/>
        <v>10099.867127923248</v>
      </c>
      <c r="S27" s="47">
        <f t="shared" si="32"/>
        <v>6917.717210906334</v>
      </c>
      <c r="T27" s="31">
        <f t="shared" si="33"/>
        <v>0</v>
      </c>
      <c r="U27" s="28">
        <f t="shared" si="34"/>
        <v>-28.239507856358514</v>
      </c>
      <c r="V27" s="28">
        <f t="shared" si="35"/>
        <v>-2823.9507856358514</v>
      </c>
      <c r="W27" s="29" t="e">
        <f t="shared" si="36"/>
        <v>#DIV/0!</v>
      </c>
      <c r="X27" s="27">
        <f t="shared" si="37"/>
        <v>0</v>
      </c>
      <c r="Y27" s="28">
        <f t="shared" si="38"/>
        <v>-28.239507856358514</v>
      </c>
      <c r="Z27" s="28">
        <f t="shared" si="39"/>
        <v>-2823.9507856358514</v>
      </c>
      <c r="AA27" s="47" t="e">
        <f t="shared" si="40"/>
        <v>#DIV/0!</v>
      </c>
      <c r="AB27" s="31">
        <f t="shared" si="41"/>
        <v>0</v>
      </c>
      <c r="AC27" s="28">
        <f t="shared" si="42"/>
        <v>-28.239507856358514</v>
      </c>
      <c r="AD27" s="28">
        <f t="shared" si="43"/>
        <v>-2823.9507856358514</v>
      </c>
      <c r="AE27" s="29" t="e">
        <f t="shared" si="44"/>
        <v>#DIV/0!</v>
      </c>
      <c r="AF27" s="27">
        <f t="shared" si="45"/>
        <v>0</v>
      </c>
      <c r="AG27" s="28">
        <f t="shared" si="46"/>
        <v>-28.239507856358514</v>
      </c>
      <c r="AH27" s="28">
        <f t="shared" si="47"/>
        <v>-2823.9507856358514</v>
      </c>
      <c r="AI27" s="47" t="e">
        <f t="shared" si="48"/>
        <v>#DIV/0!</v>
      </c>
      <c r="AJ27" s="31">
        <f t="shared" si="49"/>
        <v>0</v>
      </c>
      <c r="AK27" s="28">
        <f t="shared" si="50"/>
        <v>-28.239507856358514</v>
      </c>
      <c r="AL27" s="28">
        <f t="shared" si="51"/>
        <v>-2823.9507856358514</v>
      </c>
      <c r="AM27" s="29" t="e">
        <f t="shared" si="52"/>
        <v>#DIV/0!</v>
      </c>
      <c r="AN27" s="27">
        <f t="shared" si="53"/>
        <v>0</v>
      </c>
      <c r="AO27" s="28">
        <f t="shared" si="54"/>
        <v>-28.239507856358514</v>
      </c>
      <c r="AP27" s="28">
        <f t="shared" si="55"/>
        <v>-2823.9507856358514</v>
      </c>
      <c r="AQ27" s="47" t="e">
        <f t="shared" si="56"/>
        <v>#DIV/0!</v>
      </c>
      <c r="AR27" s="31">
        <f t="shared" si="57"/>
        <v>0</v>
      </c>
      <c r="AS27" s="28">
        <f t="shared" si="58"/>
        <v>-28.239507856358514</v>
      </c>
      <c r="AT27" s="47">
        <f t="shared" si="59"/>
        <v>-2823.9507856358514</v>
      </c>
      <c r="AU27" s="26" t="e">
        <f t="shared" si="60"/>
        <v>#DIV/0!</v>
      </c>
    </row>
    <row r="28" spans="2:47">
      <c r="B28" s="19"/>
      <c r="C28" s="19"/>
      <c r="F28" s="19"/>
      <c r="G28" s="14">
        <v>90</v>
      </c>
      <c r="H28" s="31">
        <f t="shared" si="22"/>
        <v>0.42</v>
      </c>
      <c r="I28" s="28">
        <f t="shared" si="21"/>
        <v>34.979168005633362</v>
      </c>
      <c r="J28" s="28">
        <f t="shared" si="23"/>
        <v>3497.916800563336</v>
      </c>
      <c r="K28" s="47">
        <f t="shared" si="24"/>
        <v>8328.3733346746103</v>
      </c>
      <c r="L28" s="31">
        <f t="shared" si="25"/>
        <v>1.21</v>
      </c>
      <c r="M28" s="28">
        <f t="shared" si="26"/>
        <v>49.383423265327735</v>
      </c>
      <c r="N28" s="28">
        <f t="shared" si="27"/>
        <v>4938.3423265327738</v>
      </c>
      <c r="O28" s="29">
        <f t="shared" si="28"/>
        <v>4081.274650027086</v>
      </c>
      <c r="P28" s="27">
        <f t="shared" si="29"/>
        <v>1.24</v>
      </c>
      <c r="Q28" s="28">
        <f t="shared" si="30"/>
        <v>70.989806154869257</v>
      </c>
      <c r="R28" s="28">
        <f t="shared" si="31"/>
        <v>7098.9806154869257</v>
      </c>
      <c r="S28" s="47">
        <f t="shared" si="32"/>
        <v>5724.9843673281657</v>
      </c>
      <c r="T28" s="31">
        <f t="shared" si="33"/>
        <v>0</v>
      </c>
      <c r="U28" s="28">
        <f t="shared" si="34"/>
        <v>-28.239507856358514</v>
      </c>
      <c r="V28" s="28">
        <f t="shared" si="35"/>
        <v>-2823.9507856358514</v>
      </c>
      <c r="W28" s="29" t="e">
        <f t="shared" si="36"/>
        <v>#DIV/0!</v>
      </c>
      <c r="X28" s="27">
        <f t="shared" si="37"/>
        <v>0</v>
      </c>
      <c r="Y28" s="28">
        <f t="shared" si="38"/>
        <v>-28.239507856358514</v>
      </c>
      <c r="Z28" s="28">
        <f t="shared" si="39"/>
        <v>-2823.9507856358514</v>
      </c>
      <c r="AA28" s="47" t="e">
        <f t="shared" si="40"/>
        <v>#DIV/0!</v>
      </c>
      <c r="AB28" s="31">
        <f t="shared" si="41"/>
        <v>0</v>
      </c>
      <c r="AC28" s="28">
        <f t="shared" si="42"/>
        <v>-28.239507856358514</v>
      </c>
      <c r="AD28" s="28">
        <f t="shared" si="43"/>
        <v>-2823.9507856358514</v>
      </c>
      <c r="AE28" s="29" t="e">
        <f t="shared" si="44"/>
        <v>#DIV/0!</v>
      </c>
      <c r="AF28" s="27">
        <f t="shared" si="45"/>
        <v>0</v>
      </c>
      <c r="AG28" s="28">
        <f t="shared" si="46"/>
        <v>-28.239507856358514</v>
      </c>
      <c r="AH28" s="28">
        <f t="shared" si="47"/>
        <v>-2823.9507856358514</v>
      </c>
      <c r="AI28" s="47" t="e">
        <f t="shared" si="48"/>
        <v>#DIV/0!</v>
      </c>
      <c r="AJ28" s="31">
        <f t="shared" si="49"/>
        <v>0</v>
      </c>
      <c r="AK28" s="28">
        <f t="shared" si="50"/>
        <v>-28.239507856358514</v>
      </c>
      <c r="AL28" s="28">
        <f t="shared" si="51"/>
        <v>-2823.9507856358514</v>
      </c>
      <c r="AM28" s="29" t="e">
        <f t="shared" si="52"/>
        <v>#DIV/0!</v>
      </c>
      <c r="AN28" s="27">
        <f t="shared" si="53"/>
        <v>0</v>
      </c>
      <c r="AO28" s="28">
        <f t="shared" si="54"/>
        <v>-28.239507856358514</v>
      </c>
      <c r="AP28" s="28">
        <f t="shared" si="55"/>
        <v>-2823.9507856358514</v>
      </c>
      <c r="AQ28" s="47" t="e">
        <f t="shared" si="56"/>
        <v>#DIV/0!</v>
      </c>
      <c r="AR28" s="31">
        <f t="shared" si="57"/>
        <v>0</v>
      </c>
      <c r="AS28" s="28">
        <f t="shared" si="58"/>
        <v>-28.239507856358514</v>
      </c>
      <c r="AT28" s="47">
        <f t="shared" si="59"/>
        <v>-2823.9507856358514</v>
      </c>
      <c r="AU28" s="26" t="e">
        <f t="shared" si="60"/>
        <v>#DIV/0!</v>
      </c>
    </row>
    <row r="29" spans="2:47">
      <c r="B29" s="19"/>
      <c r="C29" s="19"/>
      <c r="D29" s="19"/>
      <c r="E29" s="19"/>
      <c r="F29" s="19"/>
      <c r="G29" s="14">
        <v>120</v>
      </c>
      <c r="H29" s="31">
        <f t="shared" si="22"/>
        <v>0.57999999999999996</v>
      </c>
      <c r="I29" s="28">
        <f t="shared" si="21"/>
        <v>35.779404408949731</v>
      </c>
      <c r="J29" s="28">
        <f t="shared" si="23"/>
        <v>3577.9404408949731</v>
      </c>
      <c r="K29" s="47">
        <f t="shared" si="24"/>
        <v>6168.8628291292644</v>
      </c>
      <c r="L29" s="31">
        <f t="shared" si="25"/>
        <v>1.36</v>
      </c>
      <c r="M29" s="28">
        <f t="shared" si="26"/>
        <v>42.181295635480552</v>
      </c>
      <c r="N29" s="28">
        <f t="shared" si="27"/>
        <v>4218.1295635480556</v>
      </c>
      <c r="O29" s="29">
        <f t="shared" si="28"/>
        <v>3101.5658555500409</v>
      </c>
      <c r="P29" s="27">
        <f t="shared" si="29"/>
        <v>1.43</v>
      </c>
      <c r="Q29" s="28">
        <f t="shared" si="30"/>
        <v>155.41474670474452</v>
      </c>
      <c r="R29" s="28">
        <f t="shared" si="31"/>
        <v>15541.474670474452</v>
      </c>
      <c r="S29" s="47">
        <f t="shared" si="32"/>
        <v>10868.16410522689</v>
      </c>
      <c r="T29" s="31">
        <f t="shared" si="33"/>
        <v>0</v>
      </c>
      <c r="U29" s="28">
        <f t="shared" si="34"/>
        <v>-28.239507856358514</v>
      </c>
      <c r="V29" s="28">
        <f t="shared" si="35"/>
        <v>-2823.9507856358514</v>
      </c>
      <c r="W29" s="29" t="e">
        <f t="shared" si="36"/>
        <v>#DIV/0!</v>
      </c>
      <c r="X29" s="27">
        <f t="shared" si="37"/>
        <v>0</v>
      </c>
      <c r="Y29" s="28">
        <f t="shared" si="38"/>
        <v>-28.239507856358514</v>
      </c>
      <c r="Z29" s="28">
        <f t="shared" si="39"/>
        <v>-2823.9507856358514</v>
      </c>
      <c r="AA29" s="47" t="e">
        <f t="shared" si="40"/>
        <v>#DIV/0!</v>
      </c>
      <c r="AB29" s="31">
        <f t="shared" si="41"/>
        <v>0</v>
      </c>
      <c r="AC29" s="28">
        <f t="shared" si="42"/>
        <v>-28.239507856358514</v>
      </c>
      <c r="AD29" s="28">
        <f t="shared" si="43"/>
        <v>-2823.9507856358514</v>
      </c>
      <c r="AE29" s="29" t="e">
        <f t="shared" si="44"/>
        <v>#DIV/0!</v>
      </c>
      <c r="AF29" s="27">
        <f t="shared" si="45"/>
        <v>0</v>
      </c>
      <c r="AG29" s="28">
        <f t="shared" si="46"/>
        <v>-28.239507856358514</v>
      </c>
      <c r="AH29" s="28">
        <f t="shared" si="47"/>
        <v>-2823.9507856358514</v>
      </c>
      <c r="AI29" s="47" t="e">
        <f t="shared" si="48"/>
        <v>#DIV/0!</v>
      </c>
      <c r="AJ29" s="31">
        <f t="shared" si="49"/>
        <v>0</v>
      </c>
      <c r="AK29" s="28">
        <f t="shared" si="50"/>
        <v>-28.239507856358514</v>
      </c>
      <c r="AL29" s="28">
        <f t="shared" si="51"/>
        <v>-2823.9507856358514</v>
      </c>
      <c r="AM29" s="29" t="e">
        <f t="shared" si="52"/>
        <v>#DIV/0!</v>
      </c>
      <c r="AN29" s="27">
        <f t="shared" si="53"/>
        <v>0</v>
      </c>
      <c r="AO29" s="28">
        <f t="shared" si="54"/>
        <v>-28.239507856358514</v>
      </c>
      <c r="AP29" s="28">
        <f t="shared" si="55"/>
        <v>-2823.9507856358514</v>
      </c>
      <c r="AQ29" s="47" t="e">
        <f t="shared" si="56"/>
        <v>#DIV/0!</v>
      </c>
      <c r="AR29" s="31">
        <f t="shared" si="57"/>
        <v>0</v>
      </c>
      <c r="AS29" s="28">
        <f t="shared" si="58"/>
        <v>-28.239507856358514</v>
      </c>
      <c r="AT29" s="47">
        <f t="shared" si="59"/>
        <v>-2823.9507856358514</v>
      </c>
      <c r="AU29" s="26" t="e">
        <f t="shared" si="60"/>
        <v>#DIV/0!</v>
      </c>
    </row>
    <row r="30" spans="2:47">
      <c r="B30" s="19"/>
      <c r="C30" s="19"/>
      <c r="D30" s="19"/>
      <c r="E30" s="19"/>
      <c r="F30" s="19"/>
      <c r="G30" s="14">
        <v>150</v>
      </c>
      <c r="H30" s="31">
        <f t="shared" si="22"/>
        <v>0.53</v>
      </c>
      <c r="I30" s="28">
        <f t="shared" si="21"/>
        <v>44.582004845429609</v>
      </c>
      <c r="J30" s="28">
        <f t="shared" si="23"/>
        <v>4458.200484542961</v>
      </c>
      <c r="K30" s="47">
        <f t="shared" si="24"/>
        <v>8411.6990274395484</v>
      </c>
      <c r="L30" s="31">
        <f t="shared" si="25"/>
        <v>0.89</v>
      </c>
      <c r="M30" s="28">
        <f t="shared" si="26"/>
        <v>42.9815320387969</v>
      </c>
      <c r="N30" s="28">
        <f t="shared" si="27"/>
        <v>4298.1532038796904</v>
      </c>
      <c r="O30" s="29">
        <f t="shared" si="28"/>
        <v>4829.3856223367311</v>
      </c>
      <c r="P30" s="27">
        <f t="shared" si="29"/>
        <v>1.1100000000000001</v>
      </c>
      <c r="Q30" s="28">
        <f t="shared" si="30"/>
        <v>108.20079890907967</v>
      </c>
      <c r="R30" s="28">
        <f t="shared" si="31"/>
        <v>10820.079890907966</v>
      </c>
      <c r="S30" s="47">
        <f t="shared" si="32"/>
        <v>9747.8197215387063</v>
      </c>
      <c r="T30" s="31">
        <f t="shared" si="33"/>
        <v>0</v>
      </c>
      <c r="U30" s="28">
        <f t="shared" si="34"/>
        <v>-28.239507856358514</v>
      </c>
      <c r="V30" s="28">
        <f t="shared" si="35"/>
        <v>-2823.9507856358514</v>
      </c>
      <c r="W30" s="29" t="e">
        <f t="shared" si="36"/>
        <v>#DIV/0!</v>
      </c>
      <c r="X30" s="27">
        <f t="shared" si="37"/>
        <v>0</v>
      </c>
      <c r="Y30" s="28">
        <f t="shared" si="38"/>
        <v>-28.239507856358514</v>
      </c>
      <c r="Z30" s="28">
        <f t="shared" si="39"/>
        <v>-2823.9507856358514</v>
      </c>
      <c r="AA30" s="47" t="e">
        <f t="shared" si="40"/>
        <v>#DIV/0!</v>
      </c>
      <c r="AB30" s="31">
        <f t="shared" si="41"/>
        <v>0</v>
      </c>
      <c r="AC30" s="28">
        <f t="shared" si="42"/>
        <v>-28.239507856358514</v>
      </c>
      <c r="AD30" s="28">
        <f t="shared" si="43"/>
        <v>-2823.9507856358514</v>
      </c>
      <c r="AE30" s="29" t="e">
        <f t="shared" si="44"/>
        <v>#DIV/0!</v>
      </c>
      <c r="AF30" s="27">
        <f t="shared" si="45"/>
        <v>0</v>
      </c>
      <c r="AG30" s="28">
        <f t="shared" si="46"/>
        <v>-28.239507856358514</v>
      </c>
      <c r="AH30" s="28">
        <f t="shared" si="47"/>
        <v>-2823.9507856358514</v>
      </c>
      <c r="AI30" s="47" t="e">
        <f t="shared" si="48"/>
        <v>#DIV/0!</v>
      </c>
      <c r="AJ30" s="31">
        <f t="shared" si="49"/>
        <v>0</v>
      </c>
      <c r="AK30" s="28">
        <f t="shared" si="50"/>
        <v>-28.239507856358514</v>
      </c>
      <c r="AL30" s="28">
        <f t="shared" si="51"/>
        <v>-2823.9507856358514</v>
      </c>
      <c r="AM30" s="29" t="e">
        <f t="shared" si="52"/>
        <v>#DIV/0!</v>
      </c>
      <c r="AN30" s="27">
        <f t="shared" si="53"/>
        <v>0</v>
      </c>
      <c r="AO30" s="28">
        <f t="shared" si="54"/>
        <v>-28.239507856358514</v>
      </c>
      <c r="AP30" s="28">
        <f t="shared" si="55"/>
        <v>-2823.9507856358514</v>
      </c>
      <c r="AQ30" s="47" t="e">
        <f t="shared" si="56"/>
        <v>#DIV/0!</v>
      </c>
      <c r="AR30" s="31">
        <f t="shared" si="57"/>
        <v>0</v>
      </c>
      <c r="AS30" s="28">
        <f t="shared" si="58"/>
        <v>-28.239507856358514</v>
      </c>
      <c r="AT30" s="47">
        <f t="shared" si="59"/>
        <v>-2823.9507856358514</v>
      </c>
      <c r="AU30" s="26" t="e">
        <f t="shared" si="60"/>
        <v>#DIV/0!</v>
      </c>
    </row>
    <row r="31" spans="2:47">
      <c r="B31" s="19"/>
      <c r="C31" s="19"/>
      <c r="D31" s="19"/>
      <c r="E31" s="19"/>
      <c r="F31" s="19"/>
      <c r="G31" s="14">
        <v>180</v>
      </c>
      <c r="H31" s="31">
        <f t="shared" si="22"/>
        <v>0.56999999999999995</v>
      </c>
      <c r="I31" s="28">
        <f t="shared" si="21"/>
        <v>59.786496508440322</v>
      </c>
      <c r="J31" s="28">
        <f t="shared" si="23"/>
        <v>5978.6496508440323</v>
      </c>
      <c r="K31" s="47">
        <f t="shared" si="24"/>
        <v>10488.859036568479</v>
      </c>
      <c r="L31" s="31">
        <f t="shared" si="25"/>
        <v>1.25</v>
      </c>
      <c r="M31" s="28">
        <f t="shared" si="26"/>
        <v>38.980350022215134</v>
      </c>
      <c r="N31" s="28">
        <f t="shared" si="27"/>
        <v>3898.0350022215134</v>
      </c>
      <c r="O31" s="29">
        <f t="shared" si="28"/>
        <v>3118.4280017772107</v>
      </c>
      <c r="P31" s="27">
        <f t="shared" si="29"/>
        <v>1.44</v>
      </c>
      <c r="Q31" s="28">
        <f t="shared" si="30"/>
        <v>93.39642544772714</v>
      </c>
      <c r="R31" s="28">
        <f t="shared" si="31"/>
        <v>9339.6425447727142</v>
      </c>
      <c r="S31" s="47">
        <f t="shared" si="32"/>
        <v>6485.8628783143849</v>
      </c>
      <c r="T31" s="31">
        <f t="shared" si="33"/>
        <v>0</v>
      </c>
      <c r="U31" s="28">
        <f t="shared" si="34"/>
        <v>-28.239507856358514</v>
      </c>
      <c r="V31" s="28">
        <f t="shared" si="35"/>
        <v>-2823.9507856358514</v>
      </c>
      <c r="W31" s="29" t="e">
        <f t="shared" si="36"/>
        <v>#DIV/0!</v>
      </c>
      <c r="X31" s="27">
        <f t="shared" si="37"/>
        <v>0</v>
      </c>
      <c r="Y31" s="28">
        <f t="shared" si="38"/>
        <v>-28.239507856358514</v>
      </c>
      <c r="Z31" s="28">
        <f t="shared" si="39"/>
        <v>-2823.9507856358514</v>
      </c>
      <c r="AA31" s="47" t="e">
        <f t="shared" si="40"/>
        <v>#DIV/0!</v>
      </c>
      <c r="AB31" s="31">
        <f t="shared" si="41"/>
        <v>0</v>
      </c>
      <c r="AC31" s="28">
        <f t="shared" si="42"/>
        <v>-28.239507856358514</v>
      </c>
      <c r="AD31" s="28">
        <f t="shared" si="43"/>
        <v>-2823.9507856358514</v>
      </c>
      <c r="AE31" s="29" t="e">
        <f t="shared" si="44"/>
        <v>#DIV/0!</v>
      </c>
      <c r="AF31" s="27">
        <f t="shared" si="45"/>
        <v>0</v>
      </c>
      <c r="AG31" s="28">
        <f t="shared" si="46"/>
        <v>-28.239507856358514</v>
      </c>
      <c r="AH31" s="28">
        <f t="shared" si="47"/>
        <v>-2823.9507856358514</v>
      </c>
      <c r="AI31" s="47" t="e">
        <f t="shared" si="48"/>
        <v>#DIV/0!</v>
      </c>
      <c r="AJ31" s="31">
        <f t="shared" si="49"/>
        <v>0</v>
      </c>
      <c r="AK31" s="28">
        <f t="shared" si="50"/>
        <v>-28.239507856358514</v>
      </c>
      <c r="AL31" s="28">
        <f t="shared" si="51"/>
        <v>-2823.9507856358514</v>
      </c>
      <c r="AM31" s="29" t="e">
        <f t="shared" si="52"/>
        <v>#DIV/0!</v>
      </c>
      <c r="AN31" s="27">
        <f t="shared" si="53"/>
        <v>0</v>
      </c>
      <c r="AO31" s="28">
        <f t="shared" si="54"/>
        <v>-28.239507856358514</v>
      </c>
      <c r="AP31" s="28">
        <f t="shared" si="55"/>
        <v>-2823.9507856358514</v>
      </c>
      <c r="AQ31" s="47" t="e">
        <f t="shared" si="56"/>
        <v>#DIV/0!</v>
      </c>
      <c r="AR31" s="31">
        <f t="shared" si="57"/>
        <v>0</v>
      </c>
      <c r="AS31" s="28">
        <f t="shared" si="58"/>
        <v>-28.239507856358514</v>
      </c>
      <c r="AT31" s="47">
        <f t="shared" si="59"/>
        <v>-2823.9507856358514</v>
      </c>
      <c r="AU31" s="26" t="e">
        <f t="shared" si="60"/>
        <v>#DIV/0!</v>
      </c>
    </row>
    <row r="32" spans="2:47">
      <c r="B32" s="19"/>
      <c r="C32" s="19"/>
      <c r="D32" s="19"/>
      <c r="E32" s="19"/>
      <c r="F32" s="19"/>
      <c r="G32" s="14"/>
      <c r="H32" s="31">
        <f t="shared" si="22"/>
        <v>0</v>
      </c>
      <c r="I32" s="28">
        <f t="shared" si="21"/>
        <v>-28.239507856358514</v>
      </c>
      <c r="J32" s="28">
        <f t="shared" si="23"/>
        <v>-2823.9507856358514</v>
      </c>
      <c r="K32" s="47" t="e">
        <f t="shared" si="24"/>
        <v>#DIV/0!</v>
      </c>
      <c r="L32" s="31">
        <f t="shared" si="25"/>
        <v>0</v>
      </c>
      <c r="M32" s="28">
        <f t="shared" si="26"/>
        <v>-28.239507856358514</v>
      </c>
      <c r="N32" s="28">
        <f t="shared" si="27"/>
        <v>-2823.9507856358514</v>
      </c>
      <c r="O32" s="29" t="e">
        <f t="shared" si="28"/>
        <v>#DIV/0!</v>
      </c>
      <c r="P32" s="27">
        <f t="shared" si="29"/>
        <v>0</v>
      </c>
      <c r="Q32" s="28">
        <f t="shared" si="30"/>
        <v>-28.239507856358514</v>
      </c>
      <c r="R32" s="28">
        <f t="shared" si="31"/>
        <v>-2823.9507856358514</v>
      </c>
      <c r="S32" s="47" t="e">
        <f t="shared" si="32"/>
        <v>#DIV/0!</v>
      </c>
      <c r="T32" s="31">
        <f t="shared" si="33"/>
        <v>0</v>
      </c>
      <c r="U32" s="28">
        <f t="shared" si="34"/>
        <v>-28.239507856358514</v>
      </c>
      <c r="V32" s="28">
        <f t="shared" si="35"/>
        <v>-2823.9507856358514</v>
      </c>
      <c r="W32" s="29" t="e">
        <f t="shared" si="36"/>
        <v>#DIV/0!</v>
      </c>
      <c r="X32" s="27">
        <f t="shared" si="37"/>
        <v>0</v>
      </c>
      <c r="Y32" s="28">
        <f t="shared" si="38"/>
        <v>-28.239507856358514</v>
      </c>
      <c r="Z32" s="28">
        <f t="shared" si="39"/>
        <v>-2823.9507856358514</v>
      </c>
      <c r="AA32" s="47" t="e">
        <f t="shared" si="40"/>
        <v>#DIV/0!</v>
      </c>
      <c r="AB32" s="31">
        <f t="shared" si="41"/>
        <v>0</v>
      </c>
      <c r="AC32" s="28">
        <f t="shared" si="42"/>
        <v>-28.239507856358514</v>
      </c>
      <c r="AD32" s="28">
        <f t="shared" si="43"/>
        <v>-2823.9507856358514</v>
      </c>
      <c r="AE32" s="29" t="e">
        <f t="shared" si="44"/>
        <v>#DIV/0!</v>
      </c>
      <c r="AF32" s="27">
        <f t="shared" si="45"/>
        <v>0</v>
      </c>
      <c r="AG32" s="28">
        <f t="shared" si="46"/>
        <v>-28.239507856358514</v>
      </c>
      <c r="AH32" s="28">
        <f t="shared" si="47"/>
        <v>-2823.9507856358514</v>
      </c>
      <c r="AI32" s="47" t="e">
        <f t="shared" si="48"/>
        <v>#DIV/0!</v>
      </c>
      <c r="AJ32" s="31">
        <f t="shared" si="49"/>
        <v>0</v>
      </c>
      <c r="AK32" s="28">
        <f t="shared" si="50"/>
        <v>-28.239507856358514</v>
      </c>
      <c r="AL32" s="28">
        <f t="shared" si="51"/>
        <v>-2823.9507856358514</v>
      </c>
      <c r="AM32" s="29" t="e">
        <f t="shared" si="52"/>
        <v>#DIV/0!</v>
      </c>
      <c r="AN32" s="27">
        <f t="shared" si="53"/>
        <v>0</v>
      </c>
      <c r="AO32" s="28">
        <f t="shared" si="54"/>
        <v>-28.239507856358514</v>
      </c>
      <c r="AP32" s="28">
        <f t="shared" si="55"/>
        <v>-2823.9507856358514</v>
      </c>
      <c r="AQ32" s="47" t="e">
        <f t="shared" si="56"/>
        <v>#DIV/0!</v>
      </c>
      <c r="AR32" s="31">
        <f t="shared" si="57"/>
        <v>0</v>
      </c>
      <c r="AS32" s="28">
        <f t="shared" si="58"/>
        <v>-28.239507856358514</v>
      </c>
      <c r="AT32" s="47">
        <f t="shared" si="59"/>
        <v>-2823.9507856358514</v>
      </c>
      <c r="AU32" s="26" t="e">
        <f t="shared" si="60"/>
        <v>#DIV/0!</v>
      </c>
    </row>
    <row r="33" spans="2:47" ht="15" thickBot="1">
      <c r="B33" s="19"/>
      <c r="C33" s="19"/>
      <c r="D33" s="19"/>
      <c r="E33" s="19"/>
      <c r="F33" s="19"/>
      <c r="G33" s="15"/>
      <c r="H33" s="38">
        <f t="shared" si="22"/>
        <v>0</v>
      </c>
      <c r="I33" s="40">
        <f t="shared" si="21"/>
        <v>-28.239507856358514</v>
      </c>
      <c r="J33" s="40">
        <f t="shared" si="23"/>
        <v>-2823.9507856358514</v>
      </c>
      <c r="K33" s="48" t="e">
        <f t="shared" si="24"/>
        <v>#DIV/0!</v>
      </c>
      <c r="L33" s="38">
        <f t="shared" si="25"/>
        <v>0</v>
      </c>
      <c r="M33" s="40">
        <f t="shared" si="26"/>
        <v>-28.239507856358514</v>
      </c>
      <c r="N33" s="40">
        <f t="shared" si="27"/>
        <v>-2823.9507856358514</v>
      </c>
      <c r="O33" s="39" t="e">
        <f t="shared" si="28"/>
        <v>#DIV/0!</v>
      </c>
      <c r="P33" s="33">
        <f t="shared" si="29"/>
        <v>0</v>
      </c>
      <c r="Q33" s="40">
        <f t="shared" si="30"/>
        <v>-28.239507856358514</v>
      </c>
      <c r="R33" s="40">
        <f t="shared" si="31"/>
        <v>-2823.9507856358514</v>
      </c>
      <c r="S33" s="48" t="e">
        <f t="shared" si="32"/>
        <v>#DIV/0!</v>
      </c>
      <c r="T33" s="38">
        <f t="shared" si="33"/>
        <v>0</v>
      </c>
      <c r="U33" s="40">
        <f t="shared" si="34"/>
        <v>-28.239507856358514</v>
      </c>
      <c r="V33" s="40">
        <f t="shared" si="35"/>
        <v>-2823.9507856358514</v>
      </c>
      <c r="W33" s="39" t="e">
        <f t="shared" si="36"/>
        <v>#DIV/0!</v>
      </c>
      <c r="X33" s="33">
        <f t="shared" si="37"/>
        <v>0</v>
      </c>
      <c r="Y33" s="40">
        <f t="shared" si="38"/>
        <v>-28.239507856358514</v>
      </c>
      <c r="Z33" s="40">
        <f t="shared" si="39"/>
        <v>-2823.9507856358514</v>
      </c>
      <c r="AA33" s="48" t="e">
        <f t="shared" si="40"/>
        <v>#DIV/0!</v>
      </c>
      <c r="AB33" s="38">
        <f t="shared" si="41"/>
        <v>0</v>
      </c>
      <c r="AC33" s="40">
        <f t="shared" si="42"/>
        <v>-28.239507856358514</v>
      </c>
      <c r="AD33" s="40">
        <f t="shared" si="43"/>
        <v>-2823.9507856358514</v>
      </c>
      <c r="AE33" s="39" t="e">
        <f t="shared" si="44"/>
        <v>#DIV/0!</v>
      </c>
      <c r="AF33" s="33">
        <f t="shared" si="45"/>
        <v>0</v>
      </c>
      <c r="AG33" s="40">
        <f t="shared" si="46"/>
        <v>-28.239507856358514</v>
      </c>
      <c r="AH33" s="40">
        <f t="shared" si="47"/>
        <v>-2823.9507856358514</v>
      </c>
      <c r="AI33" s="48" t="e">
        <f t="shared" si="48"/>
        <v>#DIV/0!</v>
      </c>
      <c r="AJ33" s="38">
        <f t="shared" si="49"/>
        <v>0</v>
      </c>
      <c r="AK33" s="40">
        <f t="shared" si="50"/>
        <v>-28.239507856358514</v>
      </c>
      <c r="AL33" s="40">
        <f t="shared" si="51"/>
        <v>-2823.9507856358514</v>
      </c>
      <c r="AM33" s="39" t="e">
        <f t="shared" si="52"/>
        <v>#DIV/0!</v>
      </c>
      <c r="AN33" s="33">
        <f t="shared" si="53"/>
        <v>0</v>
      </c>
      <c r="AO33" s="40">
        <f t="shared" si="54"/>
        <v>-28.239507856358514</v>
      </c>
      <c r="AP33" s="40">
        <f t="shared" si="55"/>
        <v>-2823.9507856358514</v>
      </c>
      <c r="AQ33" s="48" t="e">
        <f t="shared" si="56"/>
        <v>#DIV/0!</v>
      </c>
      <c r="AR33" s="38">
        <f t="shared" si="57"/>
        <v>0</v>
      </c>
      <c r="AS33" s="40">
        <f t="shared" si="58"/>
        <v>-28.239507856358514</v>
      </c>
      <c r="AT33" s="48">
        <f t="shared" si="59"/>
        <v>-2823.9507856358514</v>
      </c>
      <c r="AU33" s="32" t="e">
        <f t="shared" si="60"/>
        <v>#DIV/0!</v>
      </c>
    </row>
    <row r="34" spans="2:47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spans="2:47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 spans="2:47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 spans="2:47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spans="2:47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spans="2:47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spans="2:47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 spans="2:47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 spans="2:47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 spans="2:47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spans="2:47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spans="2:47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7" spans="2:47">
      <c r="G47" s="7"/>
    </row>
    <row r="48" spans="2:4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</sheetData>
  <mergeCells count="22">
    <mergeCell ref="B5:E5"/>
    <mergeCell ref="H5:AU5"/>
    <mergeCell ref="H6:K6"/>
    <mergeCell ref="L6:O6"/>
    <mergeCell ref="P6:S6"/>
    <mergeCell ref="T6:W6"/>
    <mergeCell ref="X6:AA6"/>
    <mergeCell ref="AB6:AE6"/>
    <mergeCell ref="AF6:AI6"/>
    <mergeCell ref="AJ6:AM6"/>
    <mergeCell ref="AN21:AQ21"/>
    <mergeCell ref="AR21:AU21"/>
    <mergeCell ref="AN6:AQ6"/>
    <mergeCell ref="AR6:AU6"/>
    <mergeCell ref="H21:K21"/>
    <mergeCell ref="L21:O21"/>
    <mergeCell ref="P21:S21"/>
    <mergeCell ref="T21:W21"/>
    <mergeCell ref="X21:AA21"/>
    <mergeCell ref="AB21:AE21"/>
    <mergeCell ref="AF21:AI21"/>
    <mergeCell ref="AJ21:AM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072D-D302-4B0B-81C0-D2223CDA31EF}">
  <dimension ref="B4:AU70"/>
  <sheetViews>
    <sheetView topLeftCell="AL1" zoomScale="60" zoomScaleNormal="60" workbookViewId="0">
      <selection activeCell="BG2" sqref="BG2"/>
    </sheetView>
  </sheetViews>
  <sheetFormatPr defaultColWidth="11.42578125" defaultRowHeight="14.45"/>
  <cols>
    <col min="2" max="2" width="7.7109375" bestFit="1" customWidth="1"/>
    <col min="3" max="3" width="9.5703125" bestFit="1" customWidth="1"/>
    <col min="4" max="4" width="10.85546875" bestFit="1" customWidth="1"/>
    <col min="5" max="5" width="15.5703125" bestFit="1" customWidth="1"/>
    <col min="7" max="7" width="12.42578125" bestFit="1" customWidth="1"/>
    <col min="8" max="8" width="11.140625" bestFit="1" customWidth="1"/>
    <col min="9" max="9" width="9.5703125" bestFit="1" customWidth="1"/>
    <col min="10" max="10" width="14.5703125" bestFit="1" customWidth="1"/>
    <col min="11" max="11" width="17.5703125" bestFit="1" customWidth="1"/>
    <col min="12" max="12" width="11.140625" bestFit="1" customWidth="1"/>
    <col min="13" max="13" width="9.5703125" bestFit="1" customWidth="1"/>
    <col min="14" max="14" width="14.5703125" bestFit="1" customWidth="1"/>
    <col min="15" max="15" width="17.5703125" bestFit="1" customWidth="1"/>
    <col min="16" max="16" width="11.140625" bestFit="1" customWidth="1"/>
    <col min="17" max="17" width="9.5703125" bestFit="1" customWidth="1"/>
    <col min="18" max="18" width="14.5703125" bestFit="1" customWidth="1"/>
    <col min="19" max="19" width="17.5703125" bestFit="1" customWidth="1"/>
    <col min="20" max="20" width="11.140625" bestFit="1" customWidth="1"/>
    <col min="21" max="21" width="9.5703125" bestFit="1" customWidth="1"/>
    <col min="22" max="22" width="14.5703125" bestFit="1" customWidth="1"/>
    <col min="23" max="23" width="17.5703125" bestFit="1" customWidth="1"/>
    <col min="24" max="24" width="11.140625" bestFit="1" customWidth="1"/>
    <col min="25" max="25" width="9.5703125" bestFit="1" customWidth="1"/>
    <col min="26" max="26" width="14.5703125" bestFit="1" customWidth="1"/>
    <col min="27" max="27" width="17.5703125" bestFit="1" customWidth="1"/>
    <col min="28" max="28" width="11.140625" bestFit="1" customWidth="1"/>
    <col min="29" max="29" width="9.5703125" bestFit="1" customWidth="1"/>
    <col min="30" max="30" width="14.5703125" bestFit="1" customWidth="1"/>
    <col min="31" max="31" width="17.5703125" bestFit="1" customWidth="1"/>
    <col min="32" max="32" width="11.140625" bestFit="1" customWidth="1"/>
    <col min="33" max="33" width="9.5703125" bestFit="1" customWidth="1"/>
    <col min="34" max="34" width="14.5703125" bestFit="1" customWidth="1"/>
    <col min="35" max="35" width="17.5703125" bestFit="1" customWidth="1"/>
    <col min="36" max="36" width="11.140625" bestFit="1" customWidth="1"/>
    <col min="37" max="37" width="9.5703125" bestFit="1" customWidth="1"/>
    <col min="38" max="38" width="14.5703125" bestFit="1" customWidth="1"/>
    <col min="39" max="39" width="17.5703125" bestFit="1" customWidth="1"/>
    <col min="40" max="40" width="11.140625" bestFit="1" customWidth="1"/>
    <col min="41" max="41" width="9.5703125" bestFit="1" customWidth="1"/>
    <col min="42" max="42" width="14.5703125" bestFit="1" customWidth="1"/>
    <col min="43" max="43" width="17.5703125" bestFit="1" customWidth="1"/>
    <col min="44" max="44" width="11.140625" bestFit="1" customWidth="1"/>
    <col min="45" max="45" width="9.5703125" bestFit="1" customWidth="1"/>
    <col min="46" max="46" width="14.5703125" bestFit="1" customWidth="1"/>
    <col min="47" max="47" width="17.5703125" bestFit="1" customWidth="1"/>
  </cols>
  <sheetData>
    <row r="4" spans="2:47" ht="15" thickBot="1"/>
    <row r="5" spans="2:47" ht="15" thickBot="1">
      <c r="B5" s="100" t="s">
        <v>0</v>
      </c>
      <c r="C5" s="101"/>
      <c r="D5" s="101"/>
      <c r="E5" s="102"/>
      <c r="F5" s="19"/>
      <c r="G5" s="19"/>
      <c r="H5" s="103" t="s">
        <v>1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5"/>
    </row>
    <row r="6" spans="2:47" ht="16.899999999999999" thickBot="1">
      <c r="B6" s="20" t="s">
        <v>2</v>
      </c>
      <c r="C6" s="21" t="s">
        <v>3</v>
      </c>
      <c r="D6" s="17" t="s">
        <v>4</v>
      </c>
      <c r="E6" s="18" t="s">
        <v>5</v>
      </c>
      <c r="F6" s="19"/>
      <c r="G6" s="19"/>
      <c r="H6" s="76" t="s">
        <v>6</v>
      </c>
      <c r="I6" s="77"/>
      <c r="J6" s="77"/>
      <c r="K6" s="78"/>
      <c r="L6" s="79" t="s">
        <v>7</v>
      </c>
      <c r="M6" s="80"/>
      <c r="N6" s="80"/>
      <c r="O6" s="81"/>
      <c r="P6" s="82" t="s">
        <v>82</v>
      </c>
      <c r="Q6" s="83"/>
      <c r="R6" s="83"/>
      <c r="S6" s="84"/>
      <c r="T6" s="85" t="s">
        <v>9</v>
      </c>
      <c r="U6" s="86"/>
      <c r="V6" s="86"/>
      <c r="W6" s="87"/>
      <c r="X6" s="88" t="s">
        <v>10</v>
      </c>
      <c r="Y6" s="89"/>
      <c r="Z6" s="89"/>
      <c r="AA6" s="90"/>
      <c r="AB6" s="91" t="s">
        <v>11</v>
      </c>
      <c r="AC6" s="92"/>
      <c r="AD6" s="92"/>
      <c r="AE6" s="93"/>
      <c r="AF6" s="94" t="s">
        <v>12</v>
      </c>
      <c r="AG6" s="95"/>
      <c r="AH6" s="95"/>
      <c r="AI6" s="96"/>
      <c r="AJ6" s="97" t="s">
        <v>13</v>
      </c>
      <c r="AK6" s="98"/>
      <c r="AL6" s="98"/>
      <c r="AM6" s="99"/>
      <c r="AN6" s="70" t="s">
        <v>14</v>
      </c>
      <c r="AO6" s="71"/>
      <c r="AP6" s="71"/>
      <c r="AQ6" s="72"/>
      <c r="AR6" s="73" t="s">
        <v>15</v>
      </c>
      <c r="AS6" s="74"/>
      <c r="AT6" s="74"/>
      <c r="AU6" s="75"/>
    </row>
    <row r="7" spans="2:47" ht="16.899999999999999" thickBot="1">
      <c r="B7" s="22">
        <v>0</v>
      </c>
      <c r="C7" s="23">
        <v>0.185</v>
      </c>
      <c r="D7" s="24">
        <v>0.14099999999999999</v>
      </c>
      <c r="E7" s="25">
        <f>(C7+D7)/2</f>
        <v>0.16299999999999998</v>
      </c>
      <c r="F7" s="19"/>
      <c r="G7" s="20" t="s">
        <v>16</v>
      </c>
      <c r="H7" s="16" t="s">
        <v>17</v>
      </c>
      <c r="I7" s="17" t="s">
        <v>3</v>
      </c>
      <c r="J7" s="17" t="s">
        <v>4</v>
      </c>
      <c r="K7" s="18" t="s">
        <v>5</v>
      </c>
      <c r="L7" s="21" t="s">
        <v>17</v>
      </c>
      <c r="M7" s="17" t="s">
        <v>3</v>
      </c>
      <c r="N7" s="17" t="s">
        <v>4</v>
      </c>
      <c r="O7" s="18" t="s">
        <v>5</v>
      </c>
      <c r="P7" s="16" t="s">
        <v>17</v>
      </c>
      <c r="Q7" s="17" t="s">
        <v>3</v>
      </c>
      <c r="R7" s="17" t="s">
        <v>4</v>
      </c>
      <c r="S7" s="18" t="s">
        <v>5</v>
      </c>
      <c r="T7" s="21" t="s">
        <v>17</v>
      </c>
      <c r="U7" s="17" t="s">
        <v>3</v>
      </c>
      <c r="V7" s="17" t="s">
        <v>4</v>
      </c>
      <c r="W7" s="18" t="s">
        <v>5</v>
      </c>
      <c r="X7" s="16" t="s">
        <v>17</v>
      </c>
      <c r="Y7" s="17" t="s">
        <v>3</v>
      </c>
      <c r="Z7" s="17" t="s">
        <v>4</v>
      </c>
      <c r="AA7" s="18" t="s">
        <v>5</v>
      </c>
      <c r="AB7" s="21" t="s">
        <v>17</v>
      </c>
      <c r="AC7" s="17" t="s">
        <v>3</v>
      </c>
      <c r="AD7" s="17" t="s">
        <v>4</v>
      </c>
      <c r="AE7" s="18" t="s">
        <v>5</v>
      </c>
      <c r="AF7" s="16" t="s">
        <v>17</v>
      </c>
      <c r="AG7" s="17" t="s">
        <v>3</v>
      </c>
      <c r="AH7" s="17" t="s">
        <v>4</v>
      </c>
      <c r="AI7" s="18" t="s">
        <v>5</v>
      </c>
      <c r="AJ7" s="21" t="s">
        <v>17</v>
      </c>
      <c r="AK7" s="17" t="s">
        <v>3</v>
      </c>
      <c r="AL7" s="17" t="s">
        <v>4</v>
      </c>
      <c r="AM7" s="18" t="s">
        <v>5</v>
      </c>
      <c r="AN7" s="16" t="s">
        <v>17</v>
      </c>
      <c r="AO7" s="17" t="s">
        <v>3</v>
      </c>
      <c r="AP7" s="17" t="s">
        <v>4</v>
      </c>
      <c r="AQ7" s="18" t="s">
        <v>5</v>
      </c>
      <c r="AR7" s="21" t="s">
        <v>17</v>
      </c>
      <c r="AS7" s="17" t="s">
        <v>3</v>
      </c>
      <c r="AT7" s="17" t="s">
        <v>4</v>
      </c>
      <c r="AU7" s="18" t="s">
        <v>5</v>
      </c>
    </row>
    <row r="8" spans="2:47">
      <c r="B8" s="26">
        <v>25</v>
      </c>
      <c r="C8" s="27">
        <v>0.17899999999999999</v>
      </c>
      <c r="D8" s="28">
        <v>0.21099999999999999</v>
      </c>
      <c r="E8" s="29">
        <f t="shared" ref="E8:E15" si="0">(C8+D8)/2</f>
        <v>0.19500000000000001</v>
      </c>
      <c r="F8" s="19"/>
      <c r="G8" s="10">
        <v>0</v>
      </c>
      <c r="H8" s="30">
        <v>1.256</v>
      </c>
      <c r="I8" s="24">
        <v>0.308</v>
      </c>
      <c r="J8" s="24">
        <v>0.40200000000000002</v>
      </c>
      <c r="K8" s="25">
        <f>(I8+J8)/2</f>
        <v>0.35499999999999998</v>
      </c>
      <c r="L8" s="23">
        <v>1.1599999999999999</v>
      </c>
      <c r="M8" s="24">
        <v>0.27300000000000002</v>
      </c>
      <c r="N8" s="24">
        <v>0.28399999999999997</v>
      </c>
      <c r="O8" s="25">
        <f>(M8+N8)/2</f>
        <v>0.27849999999999997</v>
      </c>
      <c r="P8" s="30">
        <v>1.6479999999999999</v>
      </c>
      <c r="Q8" s="24">
        <v>0.42799999999999999</v>
      </c>
      <c r="R8" s="24">
        <v>0.32900000000000001</v>
      </c>
      <c r="S8" s="25">
        <f t="shared" ref="S8:S18" si="1">(Q8+R8)/2</f>
        <v>0.3785</v>
      </c>
      <c r="T8" s="23"/>
      <c r="U8" s="24"/>
      <c r="V8" s="24"/>
      <c r="W8" s="25">
        <f t="shared" ref="W8:W18" si="2">(U8+V8)/2</f>
        <v>0</v>
      </c>
      <c r="X8" s="30"/>
      <c r="Y8" s="24"/>
      <c r="Z8" s="24"/>
      <c r="AA8" s="25">
        <f t="shared" ref="AA8:AA18" si="3">(Y8+Z8)/2</f>
        <v>0</v>
      </c>
      <c r="AB8" s="23"/>
      <c r="AC8" s="24"/>
      <c r="AD8" s="24"/>
      <c r="AE8" s="25">
        <f>(AC8+AD8)/2</f>
        <v>0</v>
      </c>
      <c r="AF8" s="30"/>
      <c r="AG8" s="24"/>
      <c r="AH8" s="24"/>
      <c r="AI8" s="25">
        <f>(AG8+AH8)/2</f>
        <v>0</v>
      </c>
      <c r="AJ8" s="23"/>
      <c r="AK8" s="24"/>
      <c r="AL8" s="24"/>
      <c r="AM8" s="25">
        <f>(AK8+AL8)/2</f>
        <v>0</v>
      </c>
      <c r="AN8" s="30"/>
      <c r="AO8" s="24"/>
      <c r="AP8" s="24"/>
      <c r="AQ8" s="25">
        <f>(AO8+AP8)/2</f>
        <v>0</v>
      </c>
      <c r="AR8" s="23"/>
      <c r="AS8" s="24"/>
      <c r="AT8" s="24"/>
      <c r="AU8" s="25">
        <f>(AS8+AT8)/2</f>
        <v>0</v>
      </c>
    </row>
    <row r="9" spans="2:47">
      <c r="B9" s="26">
        <v>50</v>
      </c>
      <c r="C9" s="27">
        <v>0.2</v>
      </c>
      <c r="D9" s="28">
        <v>0.183</v>
      </c>
      <c r="E9" s="29">
        <f t="shared" si="0"/>
        <v>0.1915</v>
      </c>
      <c r="F9" s="19"/>
      <c r="G9" s="11">
        <v>10</v>
      </c>
      <c r="H9" s="31">
        <v>1.242</v>
      </c>
      <c r="I9" s="28">
        <v>0.99099999999999999</v>
      </c>
      <c r="J9" s="28">
        <v>0.747</v>
      </c>
      <c r="K9" s="29">
        <f t="shared" ref="K9:K18" si="4">(I9+J9)/2</f>
        <v>0.86899999999999999</v>
      </c>
      <c r="L9" s="27">
        <v>1.167</v>
      </c>
      <c r="M9" s="28">
        <v>0.33400000000000002</v>
      </c>
      <c r="N9" s="28">
        <v>0.27700000000000002</v>
      </c>
      <c r="O9" s="29">
        <f t="shared" ref="O9:O18" si="5">(M9+N9)/2</f>
        <v>0.30549999999999999</v>
      </c>
      <c r="P9" s="31">
        <v>1.611</v>
      </c>
      <c r="Q9" s="28">
        <v>0.29499999999999998</v>
      </c>
      <c r="R9" s="28">
        <v>0.36599999999999999</v>
      </c>
      <c r="S9" s="29">
        <f t="shared" si="1"/>
        <v>0.33050000000000002</v>
      </c>
      <c r="T9" s="27"/>
      <c r="U9" s="28"/>
      <c r="V9" s="28"/>
      <c r="W9" s="29">
        <f t="shared" si="2"/>
        <v>0</v>
      </c>
      <c r="X9" s="31"/>
      <c r="Y9" s="28"/>
      <c r="Z9" s="28"/>
      <c r="AA9" s="29">
        <f t="shared" si="3"/>
        <v>0</v>
      </c>
      <c r="AB9" s="27"/>
      <c r="AC9" s="28"/>
      <c r="AD9" s="28"/>
      <c r="AE9" s="29">
        <f t="shared" ref="AE9:AE18" si="6">(AC9+AD9)/2</f>
        <v>0</v>
      </c>
      <c r="AF9" s="31"/>
      <c r="AG9" s="28"/>
      <c r="AH9" s="28"/>
      <c r="AI9" s="29">
        <f t="shared" ref="AI9:AI18" si="7">(AG9+AH9)/2</f>
        <v>0</v>
      </c>
      <c r="AJ9" s="27"/>
      <c r="AK9" s="28"/>
      <c r="AL9" s="28"/>
      <c r="AM9" s="29">
        <f t="shared" ref="AM9:AM18" si="8">(AK9+AL9)/2</f>
        <v>0</v>
      </c>
      <c r="AN9" s="31"/>
      <c r="AO9" s="28"/>
      <c r="AP9" s="28"/>
      <c r="AQ9" s="29">
        <f t="shared" ref="AQ9:AQ18" si="9">(AO9+AP9)/2</f>
        <v>0</v>
      </c>
      <c r="AR9" s="27"/>
      <c r="AS9" s="28"/>
      <c r="AT9" s="28"/>
      <c r="AU9" s="29">
        <f t="shared" ref="AU9:AU18" si="10">(AS9+AT9)/2</f>
        <v>0</v>
      </c>
    </row>
    <row r="10" spans="2:47">
      <c r="B10" s="26">
        <v>100</v>
      </c>
      <c r="C10" s="27">
        <v>0.28499999999999998</v>
      </c>
      <c r="D10" s="28">
        <v>0.25900000000000001</v>
      </c>
      <c r="E10" s="29">
        <f t="shared" si="0"/>
        <v>0.27200000000000002</v>
      </c>
      <c r="F10" s="19"/>
      <c r="G10" s="11">
        <v>20</v>
      </c>
      <c r="H10" s="31">
        <v>1.2090000000000001</v>
      </c>
      <c r="I10" s="28">
        <v>0.28299999999999997</v>
      </c>
      <c r="J10" s="28">
        <v>0.58399999999999996</v>
      </c>
      <c r="K10" s="29">
        <f t="shared" si="4"/>
        <v>0.4335</v>
      </c>
      <c r="L10" s="27">
        <v>1.2549999999999999</v>
      </c>
      <c r="M10" s="28">
        <v>0.221</v>
      </c>
      <c r="N10" s="28">
        <v>0.20499999999999999</v>
      </c>
      <c r="O10" s="29">
        <f t="shared" si="5"/>
        <v>0.21299999999999999</v>
      </c>
      <c r="P10" s="31">
        <v>1.661</v>
      </c>
      <c r="Q10" s="28">
        <v>0.26500000000000001</v>
      </c>
      <c r="R10" s="28">
        <v>0.28599999999999998</v>
      </c>
      <c r="S10" s="29">
        <f t="shared" si="1"/>
        <v>0.27549999999999997</v>
      </c>
      <c r="T10" s="27"/>
      <c r="U10" s="28"/>
      <c r="V10" s="28"/>
      <c r="W10" s="29">
        <f t="shared" si="2"/>
        <v>0</v>
      </c>
      <c r="X10" s="31"/>
      <c r="Y10" s="28"/>
      <c r="Z10" s="28"/>
      <c r="AA10" s="29">
        <f t="shared" si="3"/>
        <v>0</v>
      </c>
      <c r="AB10" s="27"/>
      <c r="AC10" s="28"/>
      <c r="AD10" s="28"/>
      <c r="AE10" s="29">
        <f t="shared" si="6"/>
        <v>0</v>
      </c>
      <c r="AF10" s="31"/>
      <c r="AG10" s="28"/>
      <c r="AH10" s="28"/>
      <c r="AI10" s="29">
        <f t="shared" si="7"/>
        <v>0</v>
      </c>
      <c r="AJ10" s="27"/>
      <c r="AK10" s="28"/>
      <c r="AL10" s="28"/>
      <c r="AM10" s="29">
        <f t="shared" si="8"/>
        <v>0</v>
      </c>
      <c r="AN10" s="31"/>
      <c r="AO10" s="28"/>
      <c r="AP10" s="28"/>
      <c r="AQ10" s="29">
        <f t="shared" si="9"/>
        <v>0</v>
      </c>
      <c r="AR10" s="27"/>
      <c r="AS10" s="28"/>
      <c r="AT10" s="28"/>
      <c r="AU10" s="29">
        <f t="shared" si="10"/>
        <v>0</v>
      </c>
    </row>
    <row r="11" spans="2:47">
      <c r="B11" s="26">
        <v>200</v>
      </c>
      <c r="C11" s="27">
        <v>0.28599999999999998</v>
      </c>
      <c r="D11" s="28">
        <v>0.32700000000000001</v>
      </c>
      <c r="E11" s="29">
        <f t="shared" si="0"/>
        <v>0.30649999999999999</v>
      </c>
      <c r="F11" s="19"/>
      <c r="G11" s="11">
        <v>30</v>
      </c>
      <c r="H11" s="31">
        <v>1.1950000000000001</v>
      </c>
      <c r="I11" s="28">
        <v>0.41299999999999998</v>
      </c>
      <c r="J11" s="28">
        <v>0.42699999999999999</v>
      </c>
      <c r="K11" s="29">
        <f t="shared" si="4"/>
        <v>0.42</v>
      </c>
      <c r="L11" s="27">
        <v>1.2969999999999999</v>
      </c>
      <c r="M11" s="28" t="s">
        <v>81</v>
      </c>
      <c r="N11" s="28">
        <v>0.53500000000000003</v>
      </c>
      <c r="O11" s="29">
        <f>N11</f>
        <v>0.53500000000000003</v>
      </c>
      <c r="P11" s="31">
        <v>1.6830000000000001</v>
      </c>
      <c r="Q11" s="28">
        <v>0.48799999999999999</v>
      </c>
      <c r="R11" s="28">
        <v>0.36499999999999999</v>
      </c>
      <c r="S11" s="29">
        <f t="shared" si="1"/>
        <v>0.42649999999999999</v>
      </c>
      <c r="T11" s="27"/>
      <c r="U11" s="28"/>
      <c r="V11" s="28"/>
      <c r="W11" s="29">
        <f t="shared" si="2"/>
        <v>0</v>
      </c>
      <c r="X11" s="31"/>
      <c r="Y11" s="28"/>
      <c r="Z11" s="28"/>
      <c r="AA11" s="29">
        <f t="shared" si="3"/>
        <v>0</v>
      </c>
      <c r="AB11" s="27"/>
      <c r="AC11" s="28"/>
      <c r="AD11" s="28"/>
      <c r="AE11" s="29">
        <f t="shared" si="6"/>
        <v>0</v>
      </c>
      <c r="AF11" s="31"/>
      <c r="AG11" s="28"/>
      <c r="AH11" s="28"/>
      <c r="AI11" s="29">
        <f t="shared" si="7"/>
        <v>0</v>
      </c>
      <c r="AJ11" s="27"/>
      <c r="AK11" s="28"/>
      <c r="AL11" s="28"/>
      <c r="AM11" s="29">
        <f t="shared" si="8"/>
        <v>0</v>
      </c>
      <c r="AN11" s="31"/>
      <c r="AO11" s="28"/>
      <c r="AP11" s="28"/>
      <c r="AQ11" s="29">
        <f t="shared" si="9"/>
        <v>0</v>
      </c>
      <c r="AR11" s="27"/>
      <c r="AS11" s="28"/>
      <c r="AT11" s="28"/>
      <c r="AU11" s="29">
        <f t="shared" si="10"/>
        <v>0</v>
      </c>
    </row>
    <row r="12" spans="2:47">
      <c r="B12" s="26">
        <v>250</v>
      </c>
      <c r="C12" s="27">
        <v>0.37</v>
      </c>
      <c r="D12" s="28">
        <v>0.36399999999999999</v>
      </c>
      <c r="E12" s="29">
        <f t="shared" si="0"/>
        <v>0.36699999999999999</v>
      </c>
      <c r="F12" s="19"/>
      <c r="G12" s="11">
        <v>60</v>
      </c>
      <c r="H12" s="31">
        <v>1.171</v>
      </c>
      <c r="I12" s="28" t="s">
        <v>81</v>
      </c>
      <c r="J12" s="28" t="s">
        <v>81</v>
      </c>
      <c r="K12" s="29">
        <v>3</v>
      </c>
      <c r="L12" s="27">
        <v>1.5069999999999999</v>
      </c>
      <c r="M12" s="28">
        <v>0.371</v>
      </c>
      <c r="N12" s="28">
        <v>0.36499999999999999</v>
      </c>
      <c r="O12" s="29">
        <f t="shared" si="5"/>
        <v>0.36799999999999999</v>
      </c>
      <c r="P12" s="31">
        <v>1.6679999999999999</v>
      </c>
      <c r="Q12" s="28">
        <v>0.51500000000000001</v>
      </c>
      <c r="R12" s="28">
        <v>0.72599999999999998</v>
      </c>
      <c r="S12" s="29">
        <f t="shared" si="1"/>
        <v>0.62050000000000005</v>
      </c>
      <c r="T12" s="27"/>
      <c r="U12" s="28"/>
      <c r="V12" s="28"/>
      <c r="W12" s="29">
        <f t="shared" si="2"/>
        <v>0</v>
      </c>
      <c r="X12" s="31"/>
      <c r="Y12" s="28"/>
      <c r="Z12" s="28"/>
      <c r="AA12" s="29">
        <f t="shared" si="3"/>
        <v>0</v>
      </c>
      <c r="AB12" s="27"/>
      <c r="AC12" s="28"/>
      <c r="AD12" s="28"/>
      <c r="AE12" s="29">
        <f t="shared" si="6"/>
        <v>0</v>
      </c>
      <c r="AF12" s="31"/>
      <c r="AG12" s="28"/>
      <c r="AH12" s="28"/>
      <c r="AI12" s="29">
        <f t="shared" si="7"/>
        <v>0</v>
      </c>
      <c r="AJ12" s="27"/>
      <c r="AK12" s="28"/>
      <c r="AL12" s="28"/>
      <c r="AM12" s="29">
        <f t="shared" si="8"/>
        <v>0</v>
      </c>
      <c r="AN12" s="31"/>
      <c r="AO12" s="28"/>
      <c r="AP12" s="28"/>
      <c r="AQ12" s="29">
        <f t="shared" si="9"/>
        <v>0</v>
      </c>
      <c r="AR12" s="27"/>
      <c r="AS12" s="28"/>
      <c r="AT12" s="28"/>
      <c r="AU12" s="29">
        <f t="shared" si="10"/>
        <v>0</v>
      </c>
    </row>
    <row r="13" spans="2:47">
      <c r="B13" s="26">
        <v>500</v>
      </c>
      <c r="C13" s="27">
        <v>0.51500000000000001</v>
      </c>
      <c r="D13" s="28">
        <v>0.63300000000000001</v>
      </c>
      <c r="E13" s="29">
        <f t="shared" si="0"/>
        <v>0.57400000000000007</v>
      </c>
      <c r="F13" s="19"/>
      <c r="G13" s="11">
        <v>90</v>
      </c>
      <c r="H13" s="31">
        <v>1.1819999999999999</v>
      </c>
      <c r="I13" s="28">
        <v>0.41299999999999998</v>
      </c>
      <c r="J13" s="28">
        <v>0.45300000000000001</v>
      </c>
      <c r="K13" s="29">
        <f t="shared" si="4"/>
        <v>0.433</v>
      </c>
      <c r="L13" s="27">
        <v>1.5720000000000001</v>
      </c>
      <c r="M13" s="51">
        <v>0.80300000000000005</v>
      </c>
      <c r="N13" s="28">
        <v>0.45100000000000001</v>
      </c>
      <c r="O13" s="29">
        <f>N13</f>
        <v>0.45100000000000001</v>
      </c>
      <c r="P13" s="31">
        <v>1.7130000000000001</v>
      </c>
      <c r="Q13" s="28">
        <v>0.36399999999999999</v>
      </c>
      <c r="R13" s="28">
        <v>0.33500000000000002</v>
      </c>
      <c r="S13" s="29">
        <f t="shared" si="1"/>
        <v>0.34950000000000003</v>
      </c>
      <c r="T13" s="27"/>
      <c r="U13" s="28"/>
      <c r="V13" s="28"/>
      <c r="W13" s="29">
        <f t="shared" si="2"/>
        <v>0</v>
      </c>
      <c r="X13" s="31"/>
      <c r="Y13" s="28"/>
      <c r="Z13" s="28"/>
      <c r="AA13" s="29">
        <f t="shared" si="3"/>
        <v>0</v>
      </c>
      <c r="AB13" s="27"/>
      <c r="AC13" s="28"/>
      <c r="AD13" s="28"/>
      <c r="AE13" s="29">
        <f t="shared" si="6"/>
        <v>0</v>
      </c>
      <c r="AF13" s="31"/>
      <c r="AG13" s="28"/>
      <c r="AH13" s="28"/>
      <c r="AI13" s="29">
        <f t="shared" si="7"/>
        <v>0</v>
      </c>
      <c r="AJ13" s="27"/>
      <c r="AK13" s="28"/>
      <c r="AL13" s="28"/>
      <c r="AM13" s="29">
        <f t="shared" si="8"/>
        <v>0</v>
      </c>
      <c r="AN13" s="31"/>
      <c r="AO13" s="28"/>
      <c r="AP13" s="28"/>
      <c r="AQ13" s="29">
        <f t="shared" si="9"/>
        <v>0</v>
      </c>
      <c r="AR13" s="27"/>
      <c r="AS13" s="28"/>
      <c r="AT13" s="28"/>
      <c r="AU13" s="29">
        <f t="shared" si="10"/>
        <v>0</v>
      </c>
    </row>
    <row r="14" spans="2:47">
      <c r="B14" s="26">
        <v>750</v>
      </c>
      <c r="C14" s="27">
        <v>0.91200000000000003</v>
      </c>
      <c r="D14" s="28">
        <v>1.1559999999999999</v>
      </c>
      <c r="E14" s="29">
        <f t="shared" si="0"/>
        <v>1.034</v>
      </c>
      <c r="F14" s="19"/>
      <c r="G14" s="11">
        <v>120</v>
      </c>
      <c r="H14" s="31">
        <v>1.1990000000000001</v>
      </c>
      <c r="I14" s="28">
        <v>0.4</v>
      </c>
      <c r="J14" s="28">
        <v>0.41299999999999998</v>
      </c>
      <c r="K14" s="29">
        <f t="shared" si="4"/>
        <v>0.40649999999999997</v>
      </c>
      <c r="L14" s="27">
        <v>1.6679999999999999</v>
      </c>
      <c r="M14" s="28">
        <v>0.52500000000000002</v>
      </c>
      <c r="N14" s="28">
        <v>0.42699999999999999</v>
      </c>
      <c r="O14" s="29">
        <f t="shared" si="5"/>
        <v>0.47599999999999998</v>
      </c>
      <c r="P14" s="31">
        <v>1.679</v>
      </c>
      <c r="Q14" s="28">
        <v>0.42799999999999999</v>
      </c>
      <c r="R14" s="28">
        <v>0.45700000000000002</v>
      </c>
      <c r="S14" s="29">
        <f t="shared" si="1"/>
        <v>0.4425</v>
      </c>
      <c r="T14" s="27"/>
      <c r="U14" s="28"/>
      <c r="V14" s="28"/>
      <c r="W14" s="29">
        <f t="shared" si="2"/>
        <v>0</v>
      </c>
      <c r="X14" s="31"/>
      <c r="Y14" s="28"/>
      <c r="Z14" s="28"/>
      <c r="AA14" s="29">
        <f t="shared" si="3"/>
        <v>0</v>
      </c>
      <c r="AB14" s="27"/>
      <c r="AC14" s="28"/>
      <c r="AD14" s="28"/>
      <c r="AE14" s="29">
        <f t="shared" si="6"/>
        <v>0</v>
      </c>
      <c r="AF14" s="31"/>
      <c r="AG14" s="28"/>
      <c r="AH14" s="28"/>
      <c r="AI14" s="29">
        <f t="shared" si="7"/>
        <v>0</v>
      </c>
      <c r="AJ14" s="27"/>
      <c r="AK14" s="28"/>
      <c r="AL14" s="28"/>
      <c r="AM14" s="29">
        <f t="shared" si="8"/>
        <v>0</v>
      </c>
      <c r="AN14" s="31"/>
      <c r="AO14" s="28"/>
      <c r="AP14" s="28"/>
      <c r="AQ14" s="29">
        <f t="shared" si="9"/>
        <v>0</v>
      </c>
      <c r="AR14" s="27"/>
      <c r="AS14" s="28"/>
      <c r="AT14" s="28"/>
      <c r="AU14" s="29">
        <f t="shared" si="10"/>
        <v>0</v>
      </c>
    </row>
    <row r="15" spans="2:47" ht="15" thickBot="1">
      <c r="B15" s="32">
        <v>1000</v>
      </c>
      <c r="C15" s="33">
        <v>1.2190000000000001</v>
      </c>
      <c r="D15" s="34">
        <v>1.1619999999999999</v>
      </c>
      <c r="E15" s="35">
        <f t="shared" si="0"/>
        <v>1.1905000000000001</v>
      </c>
      <c r="F15" s="19"/>
      <c r="G15" s="11">
        <v>150</v>
      </c>
      <c r="H15" s="31">
        <v>1.177</v>
      </c>
      <c r="I15" s="28">
        <v>0.439</v>
      </c>
      <c r="J15" s="28">
        <v>0.53900000000000003</v>
      </c>
      <c r="K15" s="29">
        <f t="shared" si="4"/>
        <v>0.48899999999999999</v>
      </c>
      <c r="L15" s="27">
        <v>1.802</v>
      </c>
      <c r="M15" s="28">
        <v>0.437</v>
      </c>
      <c r="N15" s="28">
        <v>0.48899999999999999</v>
      </c>
      <c r="O15" s="29">
        <f t="shared" si="5"/>
        <v>0.46299999999999997</v>
      </c>
      <c r="P15" s="31">
        <v>1.851</v>
      </c>
      <c r="Q15" s="28">
        <v>0.34599999999999997</v>
      </c>
      <c r="R15" s="28">
        <v>0.43099999999999999</v>
      </c>
      <c r="S15" s="29">
        <f t="shared" si="1"/>
        <v>0.38849999999999996</v>
      </c>
      <c r="T15" s="27"/>
      <c r="U15" s="28"/>
      <c r="V15" s="28"/>
      <c r="W15" s="29">
        <f t="shared" si="2"/>
        <v>0</v>
      </c>
      <c r="X15" s="31"/>
      <c r="Y15" s="28"/>
      <c r="Z15" s="28"/>
      <c r="AA15" s="29">
        <f t="shared" si="3"/>
        <v>0</v>
      </c>
      <c r="AB15" s="27"/>
      <c r="AC15" s="28"/>
      <c r="AD15" s="28"/>
      <c r="AE15" s="29">
        <f t="shared" si="6"/>
        <v>0</v>
      </c>
      <c r="AF15" s="31"/>
      <c r="AG15" s="28"/>
      <c r="AH15" s="28"/>
      <c r="AI15" s="29">
        <f t="shared" si="7"/>
        <v>0</v>
      </c>
      <c r="AJ15" s="27"/>
      <c r="AK15" s="28"/>
      <c r="AL15" s="28"/>
      <c r="AM15" s="29">
        <f t="shared" si="8"/>
        <v>0</v>
      </c>
      <c r="AN15" s="31"/>
      <c r="AO15" s="28"/>
      <c r="AP15" s="28"/>
      <c r="AQ15" s="29">
        <f t="shared" si="9"/>
        <v>0</v>
      </c>
      <c r="AR15" s="27"/>
      <c r="AS15" s="28"/>
      <c r="AT15" s="28"/>
      <c r="AU15" s="29">
        <f t="shared" si="10"/>
        <v>0</v>
      </c>
    </row>
    <row r="16" spans="2:47">
      <c r="B16" s="19"/>
      <c r="C16" s="19"/>
      <c r="D16" s="36" t="s">
        <v>18</v>
      </c>
      <c r="E16" s="37" t="s">
        <v>19</v>
      </c>
      <c r="F16" s="19"/>
      <c r="G16" s="11">
        <v>180</v>
      </c>
      <c r="H16" s="31">
        <v>1.1399999999999999</v>
      </c>
      <c r="I16" s="28">
        <v>0.51300000000000001</v>
      </c>
      <c r="J16" s="28">
        <v>0.443</v>
      </c>
      <c r="K16" s="29">
        <f t="shared" si="4"/>
        <v>0.47799999999999998</v>
      </c>
      <c r="L16" s="27">
        <v>1.964</v>
      </c>
      <c r="M16" s="28">
        <v>0.83099999999999996</v>
      </c>
      <c r="N16" s="28">
        <v>0.63700000000000001</v>
      </c>
      <c r="O16" s="29">
        <f t="shared" si="5"/>
        <v>0.73399999999999999</v>
      </c>
      <c r="P16" s="31">
        <v>1.8360000000000001</v>
      </c>
      <c r="Q16" s="28">
        <v>0.35799999999999998</v>
      </c>
      <c r="R16" s="28">
        <v>0.33900000000000002</v>
      </c>
      <c r="S16" s="29">
        <f t="shared" si="1"/>
        <v>0.34850000000000003</v>
      </c>
      <c r="T16" s="27"/>
      <c r="U16" s="28"/>
      <c r="V16" s="28"/>
      <c r="W16" s="29">
        <f t="shared" si="2"/>
        <v>0</v>
      </c>
      <c r="X16" s="31"/>
      <c r="Y16" s="28"/>
      <c r="Z16" s="28"/>
      <c r="AA16" s="29">
        <f t="shared" si="3"/>
        <v>0</v>
      </c>
      <c r="AB16" s="27"/>
      <c r="AC16" s="28"/>
      <c r="AD16" s="28"/>
      <c r="AE16" s="29">
        <f t="shared" si="6"/>
        <v>0</v>
      </c>
      <c r="AF16" s="31"/>
      <c r="AG16" s="28"/>
      <c r="AH16" s="28"/>
      <c r="AI16" s="29">
        <f t="shared" si="7"/>
        <v>0</v>
      </c>
      <c r="AJ16" s="27"/>
      <c r="AK16" s="28"/>
      <c r="AL16" s="28"/>
      <c r="AM16" s="29">
        <f t="shared" si="8"/>
        <v>0</v>
      </c>
      <c r="AN16" s="31"/>
      <c r="AO16" s="28"/>
      <c r="AP16" s="28"/>
      <c r="AQ16" s="29">
        <f t="shared" si="9"/>
        <v>0</v>
      </c>
      <c r="AR16" s="27"/>
      <c r="AS16" s="28"/>
      <c r="AT16" s="28"/>
      <c r="AU16" s="29">
        <f t="shared" si="10"/>
        <v>0</v>
      </c>
    </row>
    <row r="17" spans="2:47" ht="15" thickBot="1">
      <c r="B17" s="19"/>
      <c r="C17" s="19"/>
      <c r="D17" s="38">
        <f>SLOPE(E20:E27,D20:D27)</f>
        <v>1.0764085552160628E-3</v>
      </c>
      <c r="E17" s="39">
        <f>INTERCEPT(E20:E27,D20:D27)</f>
        <v>-3.352182453077257E-2</v>
      </c>
      <c r="F17" s="19"/>
      <c r="G17" s="11">
        <v>210</v>
      </c>
      <c r="H17" s="31"/>
      <c r="I17" s="28"/>
      <c r="J17" s="28"/>
      <c r="K17" s="29">
        <f t="shared" si="4"/>
        <v>0</v>
      </c>
      <c r="L17" s="27"/>
      <c r="M17" s="28"/>
      <c r="N17" s="28"/>
      <c r="O17" s="29">
        <f t="shared" si="5"/>
        <v>0</v>
      </c>
      <c r="P17" s="31"/>
      <c r="Q17" s="28"/>
      <c r="R17" s="28"/>
      <c r="S17" s="29">
        <f t="shared" si="1"/>
        <v>0</v>
      </c>
      <c r="T17" s="27"/>
      <c r="U17" s="28"/>
      <c r="V17" s="28"/>
      <c r="W17" s="29">
        <f t="shared" si="2"/>
        <v>0</v>
      </c>
      <c r="X17" s="31"/>
      <c r="Y17" s="28"/>
      <c r="Z17" s="28"/>
      <c r="AA17" s="29">
        <f t="shared" si="3"/>
        <v>0</v>
      </c>
      <c r="AB17" s="27"/>
      <c r="AC17" s="28"/>
      <c r="AD17" s="28"/>
      <c r="AE17" s="29">
        <f t="shared" si="6"/>
        <v>0</v>
      </c>
      <c r="AF17" s="31"/>
      <c r="AG17" s="28"/>
      <c r="AH17" s="28"/>
      <c r="AI17" s="29">
        <f t="shared" si="7"/>
        <v>0</v>
      </c>
      <c r="AJ17" s="27"/>
      <c r="AK17" s="28"/>
      <c r="AL17" s="28"/>
      <c r="AM17" s="29">
        <f t="shared" si="8"/>
        <v>0</v>
      </c>
      <c r="AN17" s="31"/>
      <c r="AO17" s="28"/>
      <c r="AP17" s="28"/>
      <c r="AQ17" s="29">
        <f t="shared" si="9"/>
        <v>0</v>
      </c>
      <c r="AR17" s="27"/>
      <c r="AS17" s="28"/>
      <c r="AT17" s="28"/>
      <c r="AU17" s="29">
        <f t="shared" si="10"/>
        <v>0</v>
      </c>
    </row>
    <row r="18" spans="2:47" ht="15" thickBot="1">
      <c r="B18" s="19"/>
      <c r="C18" s="19"/>
      <c r="D18" s="19"/>
      <c r="E18" s="19"/>
      <c r="F18" s="19"/>
      <c r="G18" s="12">
        <v>240</v>
      </c>
      <c r="H18" s="38"/>
      <c r="I18" s="40"/>
      <c r="J18" s="40"/>
      <c r="K18" s="39">
        <f t="shared" si="4"/>
        <v>0</v>
      </c>
      <c r="L18" s="33"/>
      <c r="M18" s="40"/>
      <c r="N18" s="40"/>
      <c r="O18" s="39">
        <f t="shared" si="5"/>
        <v>0</v>
      </c>
      <c r="P18" s="38"/>
      <c r="Q18" s="40"/>
      <c r="R18" s="40"/>
      <c r="S18" s="39">
        <f t="shared" si="1"/>
        <v>0</v>
      </c>
      <c r="T18" s="33"/>
      <c r="U18" s="40"/>
      <c r="V18" s="40"/>
      <c r="W18" s="39">
        <f t="shared" si="2"/>
        <v>0</v>
      </c>
      <c r="X18" s="38"/>
      <c r="Y18" s="40"/>
      <c r="Z18" s="40"/>
      <c r="AA18" s="39">
        <f t="shared" si="3"/>
        <v>0</v>
      </c>
      <c r="AB18" s="33"/>
      <c r="AC18" s="40"/>
      <c r="AD18" s="40"/>
      <c r="AE18" s="39">
        <f t="shared" si="6"/>
        <v>0</v>
      </c>
      <c r="AF18" s="38"/>
      <c r="AG18" s="40"/>
      <c r="AH18" s="40"/>
      <c r="AI18" s="39">
        <f t="shared" si="7"/>
        <v>0</v>
      </c>
      <c r="AJ18" s="33"/>
      <c r="AK18" s="40"/>
      <c r="AL18" s="40"/>
      <c r="AM18" s="39">
        <f t="shared" si="8"/>
        <v>0</v>
      </c>
      <c r="AN18" s="38"/>
      <c r="AO18" s="40"/>
      <c r="AP18" s="40"/>
      <c r="AQ18" s="39">
        <f t="shared" si="9"/>
        <v>0</v>
      </c>
      <c r="AR18" s="33"/>
      <c r="AS18" s="40"/>
      <c r="AT18" s="40"/>
      <c r="AU18" s="39">
        <f t="shared" si="10"/>
        <v>0</v>
      </c>
    </row>
    <row r="19" spans="2:47" ht="16.899999999999999" thickBot="1">
      <c r="B19" s="19"/>
      <c r="C19" s="19"/>
      <c r="D19" s="20" t="s">
        <v>2</v>
      </c>
      <c r="E19" s="18" t="s">
        <v>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2:47" ht="15" thickBot="1">
      <c r="B20" s="19"/>
      <c r="C20" s="19"/>
      <c r="D20" s="26">
        <v>25</v>
      </c>
      <c r="E20" s="29">
        <f>E8-$E$7</f>
        <v>3.2000000000000028E-2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2:47" ht="15" thickBot="1">
      <c r="B21" s="19"/>
      <c r="C21" s="19"/>
      <c r="D21" s="26">
        <v>50</v>
      </c>
      <c r="E21" s="29">
        <f t="shared" ref="E21:E27" si="11">E9-$E$7</f>
        <v>2.8500000000000025E-2</v>
      </c>
      <c r="F21" s="19"/>
      <c r="G21" s="19"/>
      <c r="H21" s="76" t="str">
        <f t="shared" ref="H21" si="12">H6</f>
        <v>CONTROL + (M9)</v>
      </c>
      <c r="I21" s="77"/>
      <c r="J21" s="77"/>
      <c r="K21" s="78"/>
      <c r="L21" s="79" t="str">
        <f t="shared" ref="L21" si="13">L6</f>
        <v>CONTROL - (LB)</v>
      </c>
      <c r="M21" s="80"/>
      <c r="N21" s="80"/>
      <c r="O21" s="81"/>
      <c r="P21" s="82" t="str">
        <f t="shared" ref="P21" si="14">P6</f>
        <v>MEDIO SINTÉTICO</v>
      </c>
      <c r="Q21" s="83"/>
      <c r="R21" s="83"/>
      <c r="S21" s="84"/>
      <c r="T21" s="85" t="str">
        <f t="shared" ref="T21" si="15">T6</f>
        <v>SAMPLE 2</v>
      </c>
      <c r="U21" s="86"/>
      <c r="V21" s="86"/>
      <c r="W21" s="87"/>
      <c r="X21" s="88" t="str">
        <f t="shared" ref="X21" si="16">X6</f>
        <v>SAMPLE 3</v>
      </c>
      <c r="Y21" s="89"/>
      <c r="Z21" s="89"/>
      <c r="AA21" s="90"/>
      <c r="AB21" s="91" t="str">
        <f t="shared" ref="AB21" si="17">AB6</f>
        <v>SAMPLE 4</v>
      </c>
      <c r="AC21" s="92"/>
      <c r="AD21" s="92"/>
      <c r="AE21" s="93"/>
      <c r="AF21" s="94" t="str">
        <f t="shared" ref="AF21" si="18">AF6</f>
        <v>SAMPLE 5</v>
      </c>
      <c r="AG21" s="95"/>
      <c r="AH21" s="95"/>
      <c r="AI21" s="96"/>
      <c r="AJ21" s="97" t="str">
        <f t="shared" ref="AJ21" si="19">AJ6</f>
        <v>SAMPLE 6</v>
      </c>
      <c r="AK21" s="98"/>
      <c r="AL21" s="98"/>
      <c r="AM21" s="99"/>
      <c r="AN21" s="70" t="str">
        <f t="shared" ref="AN21" si="20">AN6</f>
        <v>SAMPLE 7</v>
      </c>
      <c r="AO21" s="71"/>
      <c r="AP21" s="71"/>
      <c r="AQ21" s="72"/>
      <c r="AR21" s="73" t="str">
        <f>AR6</f>
        <v>SAMPLE 8</v>
      </c>
      <c r="AS21" s="74"/>
      <c r="AT21" s="74"/>
      <c r="AU21" s="75"/>
    </row>
    <row r="22" spans="2:47" ht="16.899999999999999" thickBot="1">
      <c r="B22" s="19"/>
      <c r="C22" s="19"/>
      <c r="D22" s="26">
        <v>100</v>
      </c>
      <c r="E22" s="29">
        <f t="shared" si="11"/>
        <v>0.10900000000000004</v>
      </c>
      <c r="F22" s="19"/>
      <c r="G22" s="20" t="s">
        <v>16</v>
      </c>
      <c r="H22" s="41" t="s">
        <v>17</v>
      </c>
      <c r="I22" s="42" t="s">
        <v>2</v>
      </c>
      <c r="J22" s="42" t="s">
        <v>20</v>
      </c>
      <c r="K22" s="43" t="s">
        <v>21</v>
      </c>
      <c r="L22" s="41" t="s">
        <v>17</v>
      </c>
      <c r="M22" s="42" t="s">
        <v>2</v>
      </c>
      <c r="N22" s="42" t="s">
        <v>20</v>
      </c>
      <c r="O22" s="42" t="s">
        <v>21</v>
      </c>
      <c r="P22" s="49" t="s">
        <v>17</v>
      </c>
      <c r="Q22" s="42" t="s">
        <v>2</v>
      </c>
      <c r="R22" s="42" t="s">
        <v>20</v>
      </c>
      <c r="S22" s="43" t="s">
        <v>21</v>
      </c>
      <c r="T22" s="41" t="s">
        <v>17</v>
      </c>
      <c r="U22" s="42" t="s">
        <v>2</v>
      </c>
      <c r="V22" s="42" t="s">
        <v>20</v>
      </c>
      <c r="W22" s="42" t="s">
        <v>21</v>
      </c>
      <c r="X22" s="49" t="s">
        <v>17</v>
      </c>
      <c r="Y22" s="42" t="s">
        <v>2</v>
      </c>
      <c r="Z22" s="42" t="s">
        <v>20</v>
      </c>
      <c r="AA22" s="43" t="s">
        <v>21</v>
      </c>
      <c r="AB22" s="41" t="s">
        <v>17</v>
      </c>
      <c r="AC22" s="42" t="s">
        <v>2</v>
      </c>
      <c r="AD22" s="42" t="s">
        <v>20</v>
      </c>
      <c r="AE22" s="42" t="s">
        <v>21</v>
      </c>
      <c r="AF22" s="49" t="s">
        <v>17</v>
      </c>
      <c r="AG22" s="42" t="s">
        <v>2</v>
      </c>
      <c r="AH22" s="42" t="s">
        <v>20</v>
      </c>
      <c r="AI22" s="43" t="s">
        <v>21</v>
      </c>
      <c r="AJ22" s="41" t="s">
        <v>17</v>
      </c>
      <c r="AK22" s="42" t="s">
        <v>2</v>
      </c>
      <c r="AL22" s="42" t="s">
        <v>20</v>
      </c>
      <c r="AM22" s="42" t="s">
        <v>21</v>
      </c>
      <c r="AN22" s="49" t="s">
        <v>17</v>
      </c>
      <c r="AO22" s="42" t="s">
        <v>2</v>
      </c>
      <c r="AP22" s="42" t="s">
        <v>20</v>
      </c>
      <c r="AQ22" s="43" t="s">
        <v>21</v>
      </c>
      <c r="AR22" s="41" t="s">
        <v>17</v>
      </c>
      <c r="AS22" s="42" t="s">
        <v>2</v>
      </c>
      <c r="AT22" s="43" t="s">
        <v>20</v>
      </c>
      <c r="AU22" s="20" t="s">
        <v>21</v>
      </c>
    </row>
    <row r="23" spans="2:47">
      <c r="B23" s="19"/>
      <c r="C23" s="19"/>
      <c r="D23" s="26">
        <v>200</v>
      </c>
      <c r="E23" s="29">
        <f t="shared" si="11"/>
        <v>0.14350000000000002</v>
      </c>
      <c r="F23" s="19"/>
      <c r="G23" s="13">
        <v>0</v>
      </c>
      <c r="H23" s="36">
        <f>H8</f>
        <v>1.256</v>
      </c>
      <c r="I23" s="28">
        <f t="shared" ref="I23:I33" si="21">(K8-$E$17)/$D$17</f>
        <v>360.94271329233931</v>
      </c>
      <c r="J23" s="44">
        <f>I23*100</f>
        <v>36094.271329233932</v>
      </c>
      <c r="K23" s="45">
        <f>J23/H23</f>
        <v>28737.477172956951</v>
      </c>
      <c r="L23" s="36">
        <f>L8</f>
        <v>1.1599999999999999</v>
      </c>
      <c r="M23" s="44">
        <f>(O8-$E$17)/$D$17</f>
        <v>289.87304403962281</v>
      </c>
      <c r="N23" s="44">
        <f>M23*100</f>
        <v>28987.30440396228</v>
      </c>
      <c r="O23" s="37">
        <f>N23/L23</f>
        <v>24989.055520657141</v>
      </c>
      <c r="P23" s="50">
        <f>P8</f>
        <v>1.6479999999999999</v>
      </c>
      <c r="Q23" s="44">
        <f>(S8-$E$17)/$D$17</f>
        <v>382.77457247454635</v>
      </c>
      <c r="R23" s="44">
        <f>Q23*100</f>
        <v>38277.457247454637</v>
      </c>
      <c r="S23" s="45">
        <f>R23/P23</f>
        <v>23226.612407436067</v>
      </c>
      <c r="T23" s="36">
        <f>T8</f>
        <v>0</v>
      </c>
      <c r="U23" s="44">
        <f>(W8-$E$17)/$D$17</f>
        <v>31.142287348360846</v>
      </c>
      <c r="V23" s="44">
        <f>U23*100</f>
        <v>3114.2287348360846</v>
      </c>
      <c r="W23" s="37" t="e">
        <f>V23/T23</f>
        <v>#DIV/0!</v>
      </c>
      <c r="X23" s="50">
        <f>X8</f>
        <v>0</v>
      </c>
      <c r="Y23" s="44">
        <f>(AA8-$E$17)/$D$17</f>
        <v>31.142287348360846</v>
      </c>
      <c r="Z23" s="44">
        <f>Y23*100</f>
        <v>3114.2287348360846</v>
      </c>
      <c r="AA23" s="45" t="e">
        <f>Z23/X23</f>
        <v>#DIV/0!</v>
      </c>
      <c r="AB23" s="36">
        <f>AB8</f>
        <v>0</v>
      </c>
      <c r="AC23" s="44">
        <f>(AE8-$E$17)/$D$17</f>
        <v>31.142287348360846</v>
      </c>
      <c r="AD23" s="44">
        <f>AC23*100</f>
        <v>3114.2287348360846</v>
      </c>
      <c r="AE23" s="37" t="e">
        <f>AD23/AB23</f>
        <v>#DIV/0!</v>
      </c>
      <c r="AF23" s="50">
        <f>AF8</f>
        <v>0</v>
      </c>
      <c r="AG23" s="44">
        <f>(AI8-$E$17)/$D$17</f>
        <v>31.142287348360846</v>
      </c>
      <c r="AH23" s="44">
        <f>AG23*100</f>
        <v>3114.2287348360846</v>
      </c>
      <c r="AI23" s="45" t="e">
        <f>AH23/AF23</f>
        <v>#DIV/0!</v>
      </c>
      <c r="AJ23" s="36">
        <f>AJ8</f>
        <v>0</v>
      </c>
      <c r="AK23" s="44">
        <f>(AM8-$E$17)/$D$17</f>
        <v>31.142287348360846</v>
      </c>
      <c r="AL23" s="44">
        <f>AK23*100</f>
        <v>3114.2287348360846</v>
      </c>
      <c r="AM23" s="37" t="e">
        <f>AL23/AJ23</f>
        <v>#DIV/0!</v>
      </c>
      <c r="AN23" s="50">
        <f>AN8</f>
        <v>0</v>
      </c>
      <c r="AO23" s="44">
        <f>(AQ8-$E$17)/$D$17</f>
        <v>31.142287348360846</v>
      </c>
      <c r="AP23" s="44">
        <f>AO23*100</f>
        <v>3114.2287348360846</v>
      </c>
      <c r="AQ23" s="45" t="e">
        <f>AP23/AN23</f>
        <v>#DIV/0!</v>
      </c>
      <c r="AR23" s="36">
        <f>AR8</f>
        <v>0</v>
      </c>
      <c r="AS23" s="44">
        <f>(AU8-$E$17)/$D$17</f>
        <v>31.142287348360846</v>
      </c>
      <c r="AT23" s="45">
        <f>AS23*100</f>
        <v>3114.2287348360846</v>
      </c>
      <c r="AU23" s="46" t="e">
        <f>AT23/AR23</f>
        <v>#DIV/0!</v>
      </c>
    </row>
    <row r="24" spans="2:47">
      <c r="B24" s="19"/>
      <c r="C24" s="19"/>
      <c r="D24" s="26">
        <v>250</v>
      </c>
      <c r="E24" s="29">
        <f t="shared" si="11"/>
        <v>0.20400000000000001</v>
      </c>
      <c r="F24" s="19"/>
      <c r="G24" s="14">
        <v>10</v>
      </c>
      <c r="H24" s="31">
        <f t="shared" ref="H24:H33" si="22">H9</f>
        <v>1.242</v>
      </c>
      <c r="I24" s="28">
        <f t="shared" si="21"/>
        <v>838.45656944784616</v>
      </c>
      <c r="J24" s="28">
        <f t="shared" ref="J24:J33" si="23">I24*100</f>
        <v>83845.656944784612</v>
      </c>
      <c r="K24" s="47">
        <f t="shared" ref="K24:K33" si="24">J24/H24</f>
        <v>67508.580470841072</v>
      </c>
      <c r="L24" s="31">
        <f t="shared" ref="L24:L33" si="25">L9</f>
        <v>1.167</v>
      </c>
      <c r="M24" s="28">
        <f t="shared" ref="M24:M33" si="26">(O9-$E$17)/$D$17</f>
        <v>314.95645671705216</v>
      </c>
      <c r="N24" s="28">
        <f t="shared" ref="N24:N33" si="27">M24*100</f>
        <v>31495.645671705217</v>
      </c>
      <c r="O24" s="29">
        <f t="shared" ref="O24:O33" si="28">N24/L24</f>
        <v>26988.556702403785</v>
      </c>
      <c r="P24" s="27">
        <f t="shared" ref="P24:P33" si="29">P9</f>
        <v>1.611</v>
      </c>
      <c r="Q24" s="28">
        <f t="shared" ref="Q24:Q33" si="30">(S9-$E$17)/$D$17</f>
        <v>338.18183882578307</v>
      </c>
      <c r="R24" s="28">
        <f t="shared" ref="R24:R33" si="31">Q24*100</f>
        <v>33818.183882578305</v>
      </c>
      <c r="S24" s="47">
        <f t="shared" ref="S24:S33" si="32">R24/P24</f>
        <v>20992.044619849974</v>
      </c>
      <c r="T24" s="31">
        <f t="shared" ref="T24:T33" si="33">T9</f>
        <v>0</v>
      </c>
      <c r="U24" s="28">
        <f t="shared" ref="U24:U33" si="34">(W9-$E$17)/$D$17</f>
        <v>31.142287348360846</v>
      </c>
      <c r="V24" s="28">
        <f t="shared" ref="V24:V33" si="35">U24*100</f>
        <v>3114.2287348360846</v>
      </c>
      <c r="W24" s="29" t="e">
        <f t="shared" ref="W24:W33" si="36">V24/T24</f>
        <v>#DIV/0!</v>
      </c>
      <c r="X24" s="27">
        <f t="shared" ref="X24:X33" si="37">X9</f>
        <v>0</v>
      </c>
      <c r="Y24" s="28">
        <f t="shared" ref="Y24:Y33" si="38">(AA9-$E$17)/$D$17</f>
        <v>31.142287348360846</v>
      </c>
      <c r="Z24" s="28">
        <f t="shared" ref="Z24:Z33" si="39">Y24*100</f>
        <v>3114.2287348360846</v>
      </c>
      <c r="AA24" s="47" t="e">
        <f t="shared" ref="AA24:AA33" si="40">Z24/X24</f>
        <v>#DIV/0!</v>
      </c>
      <c r="AB24" s="31">
        <f t="shared" ref="AB24:AB33" si="41">AB9</f>
        <v>0</v>
      </c>
      <c r="AC24" s="28">
        <f t="shared" ref="AC24:AC33" si="42">(AE9-$E$17)/$D$17</f>
        <v>31.142287348360846</v>
      </c>
      <c r="AD24" s="28">
        <f t="shared" ref="AD24:AD33" si="43">AC24*100</f>
        <v>3114.2287348360846</v>
      </c>
      <c r="AE24" s="29" t="e">
        <f t="shared" ref="AE24:AE33" si="44">AD24/AB24</f>
        <v>#DIV/0!</v>
      </c>
      <c r="AF24" s="27">
        <f t="shared" ref="AF24:AF33" si="45">AF9</f>
        <v>0</v>
      </c>
      <c r="AG24" s="28">
        <f t="shared" ref="AG24:AG33" si="46">(AI9-$E$17)/$D$17</f>
        <v>31.142287348360846</v>
      </c>
      <c r="AH24" s="28">
        <f t="shared" ref="AH24:AH33" si="47">AG24*100</f>
        <v>3114.2287348360846</v>
      </c>
      <c r="AI24" s="47" t="e">
        <f t="shared" ref="AI24:AI33" si="48">AH24/AF24</f>
        <v>#DIV/0!</v>
      </c>
      <c r="AJ24" s="31">
        <f t="shared" ref="AJ24:AJ33" si="49">AJ9</f>
        <v>0</v>
      </c>
      <c r="AK24" s="28">
        <f t="shared" ref="AK24:AK33" si="50">(AM9-$E$17)/$D$17</f>
        <v>31.142287348360846</v>
      </c>
      <c r="AL24" s="28">
        <f t="shared" ref="AL24:AL33" si="51">AK24*100</f>
        <v>3114.2287348360846</v>
      </c>
      <c r="AM24" s="29" t="e">
        <f t="shared" ref="AM24:AM33" si="52">AL24/AJ24</f>
        <v>#DIV/0!</v>
      </c>
      <c r="AN24" s="27">
        <f t="shared" ref="AN24:AN33" si="53">AN9</f>
        <v>0</v>
      </c>
      <c r="AO24" s="28">
        <f t="shared" ref="AO24:AO33" si="54">(AQ9-$E$17)/$D$17</f>
        <v>31.142287348360846</v>
      </c>
      <c r="AP24" s="28">
        <f t="shared" ref="AP24:AP33" si="55">AO24*100</f>
        <v>3114.2287348360846</v>
      </c>
      <c r="AQ24" s="47" t="e">
        <f t="shared" ref="AQ24:AQ33" si="56">AP24/AN24</f>
        <v>#DIV/0!</v>
      </c>
      <c r="AR24" s="31">
        <f t="shared" ref="AR24:AR33" si="57">AR9</f>
        <v>0</v>
      </c>
      <c r="AS24" s="28">
        <f t="shared" ref="AS24:AS33" si="58">(AU9-$E$17)/$D$17</f>
        <v>31.142287348360846</v>
      </c>
      <c r="AT24" s="47">
        <f t="shared" ref="AT24:AT33" si="59">AS24*100</f>
        <v>3114.2287348360846</v>
      </c>
      <c r="AU24" s="26" t="e">
        <f t="shared" ref="AU24:AU33" si="60">AT24/AR24</f>
        <v>#DIV/0!</v>
      </c>
    </row>
    <row r="25" spans="2:47">
      <c r="B25" s="19"/>
      <c r="C25" s="19"/>
      <c r="D25" s="26">
        <v>500</v>
      </c>
      <c r="E25" s="29">
        <f t="shared" si="11"/>
        <v>0.41100000000000009</v>
      </c>
      <c r="F25" s="19"/>
      <c r="G25" s="14">
        <v>20</v>
      </c>
      <c r="H25" s="31">
        <f t="shared" si="22"/>
        <v>1.2090000000000001</v>
      </c>
      <c r="I25" s="28">
        <f t="shared" si="21"/>
        <v>433.8704131137543</v>
      </c>
      <c r="J25" s="28">
        <f t="shared" si="23"/>
        <v>43387.041311375433</v>
      </c>
      <c r="K25" s="47">
        <f t="shared" si="24"/>
        <v>35886.717379136004</v>
      </c>
      <c r="L25" s="31">
        <f t="shared" si="25"/>
        <v>1.2549999999999999</v>
      </c>
      <c r="M25" s="28">
        <f t="shared" si="26"/>
        <v>229.02254291474793</v>
      </c>
      <c r="N25" s="28">
        <f t="shared" si="27"/>
        <v>22902.254291474794</v>
      </c>
      <c r="O25" s="29">
        <f t="shared" si="28"/>
        <v>18248.808200378324</v>
      </c>
      <c r="P25" s="27">
        <f t="shared" si="29"/>
        <v>1.661</v>
      </c>
      <c r="Q25" s="28">
        <f t="shared" si="30"/>
        <v>287.08599818657507</v>
      </c>
      <c r="R25" s="28">
        <f t="shared" si="31"/>
        <v>28708.599818657505</v>
      </c>
      <c r="S25" s="47">
        <f t="shared" si="32"/>
        <v>17283.925237000305</v>
      </c>
      <c r="T25" s="31">
        <f t="shared" si="33"/>
        <v>0</v>
      </c>
      <c r="U25" s="28">
        <f t="shared" si="34"/>
        <v>31.142287348360846</v>
      </c>
      <c r="V25" s="28">
        <f t="shared" si="35"/>
        <v>3114.2287348360846</v>
      </c>
      <c r="W25" s="29" t="e">
        <f t="shared" si="36"/>
        <v>#DIV/0!</v>
      </c>
      <c r="X25" s="27">
        <f t="shared" si="37"/>
        <v>0</v>
      </c>
      <c r="Y25" s="28">
        <f t="shared" si="38"/>
        <v>31.142287348360846</v>
      </c>
      <c r="Z25" s="28">
        <f t="shared" si="39"/>
        <v>3114.2287348360846</v>
      </c>
      <c r="AA25" s="47" t="e">
        <f t="shared" si="40"/>
        <v>#DIV/0!</v>
      </c>
      <c r="AB25" s="31">
        <f t="shared" si="41"/>
        <v>0</v>
      </c>
      <c r="AC25" s="28">
        <f t="shared" si="42"/>
        <v>31.142287348360846</v>
      </c>
      <c r="AD25" s="28">
        <f t="shared" si="43"/>
        <v>3114.2287348360846</v>
      </c>
      <c r="AE25" s="29" t="e">
        <f t="shared" si="44"/>
        <v>#DIV/0!</v>
      </c>
      <c r="AF25" s="27">
        <f t="shared" si="45"/>
        <v>0</v>
      </c>
      <c r="AG25" s="28">
        <f t="shared" si="46"/>
        <v>31.142287348360846</v>
      </c>
      <c r="AH25" s="28">
        <f t="shared" si="47"/>
        <v>3114.2287348360846</v>
      </c>
      <c r="AI25" s="47" t="e">
        <f t="shared" si="48"/>
        <v>#DIV/0!</v>
      </c>
      <c r="AJ25" s="31">
        <f t="shared" si="49"/>
        <v>0</v>
      </c>
      <c r="AK25" s="28">
        <f t="shared" si="50"/>
        <v>31.142287348360846</v>
      </c>
      <c r="AL25" s="28">
        <f t="shared" si="51"/>
        <v>3114.2287348360846</v>
      </c>
      <c r="AM25" s="29" t="e">
        <f t="shared" si="52"/>
        <v>#DIV/0!</v>
      </c>
      <c r="AN25" s="27">
        <f t="shared" si="53"/>
        <v>0</v>
      </c>
      <c r="AO25" s="28">
        <f t="shared" si="54"/>
        <v>31.142287348360846</v>
      </c>
      <c r="AP25" s="28">
        <f t="shared" si="55"/>
        <v>3114.2287348360846</v>
      </c>
      <c r="AQ25" s="47" t="e">
        <f t="shared" si="56"/>
        <v>#DIV/0!</v>
      </c>
      <c r="AR25" s="31">
        <f t="shared" si="57"/>
        <v>0</v>
      </c>
      <c r="AS25" s="28">
        <f t="shared" si="58"/>
        <v>31.142287348360846</v>
      </c>
      <c r="AT25" s="47">
        <f t="shared" si="59"/>
        <v>3114.2287348360846</v>
      </c>
      <c r="AU25" s="26" t="e">
        <f t="shared" si="60"/>
        <v>#DIV/0!</v>
      </c>
    </row>
    <row r="26" spans="2:47">
      <c r="B26" s="19"/>
      <c r="C26" s="19"/>
      <c r="D26" s="26">
        <v>750</v>
      </c>
      <c r="E26" s="29">
        <f t="shared" si="11"/>
        <v>0.871</v>
      </c>
      <c r="F26" s="19"/>
      <c r="G26" s="14">
        <v>30</v>
      </c>
      <c r="H26" s="31">
        <f t="shared" si="22"/>
        <v>1.1950000000000001</v>
      </c>
      <c r="I26" s="28">
        <f t="shared" si="21"/>
        <v>421.32870677503956</v>
      </c>
      <c r="J26" s="28">
        <f t="shared" si="23"/>
        <v>42132.870677503954</v>
      </c>
      <c r="K26" s="47">
        <f t="shared" si="24"/>
        <v>35257.632366112091</v>
      </c>
      <c r="L26" s="31">
        <f t="shared" si="25"/>
        <v>1.2969999999999999</v>
      </c>
      <c r="M26" s="28">
        <f t="shared" si="26"/>
        <v>528.1654644752017</v>
      </c>
      <c r="N26" s="28">
        <f t="shared" si="27"/>
        <v>52816.546447520173</v>
      </c>
      <c r="O26" s="29">
        <f t="shared" si="28"/>
        <v>40722.086698165134</v>
      </c>
      <c r="P26" s="27">
        <f t="shared" si="29"/>
        <v>1.6830000000000001</v>
      </c>
      <c r="Q26" s="28">
        <f t="shared" si="30"/>
        <v>427.36730612330962</v>
      </c>
      <c r="R26" s="28">
        <f t="shared" si="31"/>
        <v>42736.730612330961</v>
      </c>
      <c r="S26" s="47">
        <f t="shared" si="32"/>
        <v>25393.185152900154</v>
      </c>
      <c r="T26" s="31">
        <f t="shared" si="33"/>
        <v>0</v>
      </c>
      <c r="U26" s="28">
        <f t="shared" si="34"/>
        <v>31.142287348360846</v>
      </c>
      <c r="V26" s="28">
        <f t="shared" si="35"/>
        <v>3114.2287348360846</v>
      </c>
      <c r="W26" s="29" t="e">
        <f t="shared" si="36"/>
        <v>#DIV/0!</v>
      </c>
      <c r="X26" s="27">
        <f t="shared" si="37"/>
        <v>0</v>
      </c>
      <c r="Y26" s="28">
        <f t="shared" si="38"/>
        <v>31.142287348360846</v>
      </c>
      <c r="Z26" s="28">
        <f t="shared" si="39"/>
        <v>3114.2287348360846</v>
      </c>
      <c r="AA26" s="47" t="e">
        <f t="shared" si="40"/>
        <v>#DIV/0!</v>
      </c>
      <c r="AB26" s="31">
        <f t="shared" si="41"/>
        <v>0</v>
      </c>
      <c r="AC26" s="28">
        <f t="shared" si="42"/>
        <v>31.142287348360846</v>
      </c>
      <c r="AD26" s="28">
        <f t="shared" si="43"/>
        <v>3114.2287348360846</v>
      </c>
      <c r="AE26" s="29" t="e">
        <f t="shared" si="44"/>
        <v>#DIV/0!</v>
      </c>
      <c r="AF26" s="27">
        <f t="shared" si="45"/>
        <v>0</v>
      </c>
      <c r="AG26" s="28">
        <f t="shared" si="46"/>
        <v>31.142287348360846</v>
      </c>
      <c r="AH26" s="28">
        <f t="shared" si="47"/>
        <v>3114.2287348360846</v>
      </c>
      <c r="AI26" s="47" t="e">
        <f t="shared" si="48"/>
        <v>#DIV/0!</v>
      </c>
      <c r="AJ26" s="31">
        <f t="shared" si="49"/>
        <v>0</v>
      </c>
      <c r="AK26" s="28">
        <f t="shared" si="50"/>
        <v>31.142287348360846</v>
      </c>
      <c r="AL26" s="28">
        <f t="shared" si="51"/>
        <v>3114.2287348360846</v>
      </c>
      <c r="AM26" s="29" t="e">
        <f t="shared" si="52"/>
        <v>#DIV/0!</v>
      </c>
      <c r="AN26" s="27">
        <f t="shared" si="53"/>
        <v>0</v>
      </c>
      <c r="AO26" s="28">
        <f t="shared" si="54"/>
        <v>31.142287348360846</v>
      </c>
      <c r="AP26" s="28">
        <f t="shared" si="55"/>
        <v>3114.2287348360846</v>
      </c>
      <c r="AQ26" s="47" t="e">
        <f t="shared" si="56"/>
        <v>#DIV/0!</v>
      </c>
      <c r="AR26" s="31">
        <f t="shared" si="57"/>
        <v>0</v>
      </c>
      <c r="AS26" s="28">
        <f t="shared" si="58"/>
        <v>31.142287348360846</v>
      </c>
      <c r="AT26" s="47">
        <f t="shared" si="59"/>
        <v>3114.2287348360846</v>
      </c>
      <c r="AU26" s="26" t="e">
        <f t="shared" si="60"/>
        <v>#DIV/0!</v>
      </c>
    </row>
    <row r="27" spans="2:47" ht="15" thickBot="1">
      <c r="B27" s="19"/>
      <c r="C27" s="19"/>
      <c r="D27" s="32">
        <v>1000</v>
      </c>
      <c r="E27" s="39">
        <f t="shared" si="11"/>
        <v>1.0275000000000001</v>
      </c>
      <c r="F27" s="19"/>
      <c r="G27" s="14">
        <v>60</v>
      </c>
      <c r="H27" s="31">
        <f t="shared" si="22"/>
        <v>1.171</v>
      </c>
      <c r="I27" s="28">
        <f t="shared" si="21"/>
        <v>2818.188140396066</v>
      </c>
      <c r="J27" s="28">
        <f t="shared" si="23"/>
        <v>281818.8140396066</v>
      </c>
      <c r="K27" s="47">
        <f t="shared" si="24"/>
        <v>240665.0845769484</v>
      </c>
      <c r="L27" s="31">
        <f t="shared" si="25"/>
        <v>1.5069999999999999</v>
      </c>
      <c r="M27" s="28">
        <f t="shared" si="26"/>
        <v>373.01991198887936</v>
      </c>
      <c r="N27" s="28">
        <f t="shared" si="27"/>
        <v>37301.991198887932</v>
      </c>
      <c r="O27" s="29">
        <f t="shared" si="28"/>
        <v>24752.482547370892</v>
      </c>
      <c r="P27" s="27">
        <f t="shared" si="29"/>
        <v>1.6679999999999999</v>
      </c>
      <c r="Q27" s="28">
        <f t="shared" si="30"/>
        <v>607.59627128706131</v>
      </c>
      <c r="R27" s="28">
        <f t="shared" si="31"/>
        <v>60759.627128706132</v>
      </c>
      <c r="S27" s="47">
        <f t="shared" si="32"/>
        <v>36426.634969248284</v>
      </c>
      <c r="T27" s="31">
        <f t="shared" si="33"/>
        <v>0</v>
      </c>
      <c r="U27" s="28">
        <f t="shared" si="34"/>
        <v>31.142287348360846</v>
      </c>
      <c r="V27" s="28">
        <f t="shared" si="35"/>
        <v>3114.2287348360846</v>
      </c>
      <c r="W27" s="29" t="e">
        <f t="shared" si="36"/>
        <v>#DIV/0!</v>
      </c>
      <c r="X27" s="27">
        <f t="shared" si="37"/>
        <v>0</v>
      </c>
      <c r="Y27" s="28">
        <f t="shared" si="38"/>
        <v>31.142287348360846</v>
      </c>
      <c r="Z27" s="28">
        <f t="shared" si="39"/>
        <v>3114.2287348360846</v>
      </c>
      <c r="AA27" s="47" t="e">
        <f t="shared" si="40"/>
        <v>#DIV/0!</v>
      </c>
      <c r="AB27" s="31">
        <f t="shared" si="41"/>
        <v>0</v>
      </c>
      <c r="AC27" s="28">
        <f t="shared" si="42"/>
        <v>31.142287348360846</v>
      </c>
      <c r="AD27" s="28">
        <f t="shared" si="43"/>
        <v>3114.2287348360846</v>
      </c>
      <c r="AE27" s="29" t="e">
        <f t="shared" si="44"/>
        <v>#DIV/0!</v>
      </c>
      <c r="AF27" s="27">
        <f t="shared" si="45"/>
        <v>0</v>
      </c>
      <c r="AG27" s="28">
        <f t="shared" si="46"/>
        <v>31.142287348360846</v>
      </c>
      <c r="AH27" s="28">
        <f t="shared" si="47"/>
        <v>3114.2287348360846</v>
      </c>
      <c r="AI27" s="47" t="e">
        <f t="shared" si="48"/>
        <v>#DIV/0!</v>
      </c>
      <c r="AJ27" s="31">
        <f t="shared" si="49"/>
        <v>0</v>
      </c>
      <c r="AK27" s="28">
        <f t="shared" si="50"/>
        <v>31.142287348360846</v>
      </c>
      <c r="AL27" s="28">
        <f t="shared" si="51"/>
        <v>3114.2287348360846</v>
      </c>
      <c r="AM27" s="29" t="e">
        <f t="shared" si="52"/>
        <v>#DIV/0!</v>
      </c>
      <c r="AN27" s="27">
        <f t="shared" si="53"/>
        <v>0</v>
      </c>
      <c r="AO27" s="28">
        <f t="shared" si="54"/>
        <v>31.142287348360846</v>
      </c>
      <c r="AP27" s="28">
        <f t="shared" si="55"/>
        <v>3114.2287348360846</v>
      </c>
      <c r="AQ27" s="47" t="e">
        <f t="shared" si="56"/>
        <v>#DIV/0!</v>
      </c>
      <c r="AR27" s="31">
        <f t="shared" si="57"/>
        <v>0</v>
      </c>
      <c r="AS27" s="28">
        <f t="shared" si="58"/>
        <v>31.142287348360846</v>
      </c>
      <c r="AT27" s="47">
        <f t="shared" si="59"/>
        <v>3114.2287348360846</v>
      </c>
      <c r="AU27" s="26" t="e">
        <f t="shared" si="60"/>
        <v>#DIV/0!</v>
      </c>
    </row>
    <row r="28" spans="2:47">
      <c r="B28" s="19"/>
      <c r="C28" s="19"/>
      <c r="F28" s="19"/>
      <c r="G28" s="14">
        <v>90</v>
      </c>
      <c r="H28" s="31">
        <f t="shared" si="22"/>
        <v>1.1819999999999999</v>
      </c>
      <c r="I28" s="28">
        <f t="shared" si="21"/>
        <v>433.40590547157967</v>
      </c>
      <c r="J28" s="28">
        <f t="shared" si="23"/>
        <v>43340.590547157968</v>
      </c>
      <c r="K28" s="47">
        <f t="shared" si="24"/>
        <v>36667.166283551582</v>
      </c>
      <c r="L28" s="31">
        <f t="shared" si="25"/>
        <v>1.5720000000000001</v>
      </c>
      <c r="M28" s="28">
        <f t="shared" si="26"/>
        <v>450.12818058986591</v>
      </c>
      <c r="N28" s="28">
        <f t="shared" si="27"/>
        <v>45012.818058986588</v>
      </c>
      <c r="O28" s="29">
        <f t="shared" si="28"/>
        <v>28634.108180016912</v>
      </c>
      <c r="P28" s="27">
        <f t="shared" si="29"/>
        <v>1.7130000000000001</v>
      </c>
      <c r="Q28" s="28">
        <f t="shared" si="30"/>
        <v>355.83312922841856</v>
      </c>
      <c r="R28" s="28">
        <f t="shared" si="31"/>
        <v>35583.312922841855</v>
      </c>
      <c r="S28" s="47">
        <f t="shared" si="32"/>
        <v>20772.511922266112</v>
      </c>
      <c r="T28" s="31">
        <f t="shared" si="33"/>
        <v>0</v>
      </c>
      <c r="U28" s="28">
        <f t="shared" si="34"/>
        <v>31.142287348360846</v>
      </c>
      <c r="V28" s="28">
        <f t="shared" si="35"/>
        <v>3114.2287348360846</v>
      </c>
      <c r="W28" s="29" t="e">
        <f t="shared" si="36"/>
        <v>#DIV/0!</v>
      </c>
      <c r="X28" s="27">
        <f t="shared" si="37"/>
        <v>0</v>
      </c>
      <c r="Y28" s="28">
        <f t="shared" si="38"/>
        <v>31.142287348360846</v>
      </c>
      <c r="Z28" s="28">
        <f t="shared" si="39"/>
        <v>3114.2287348360846</v>
      </c>
      <c r="AA28" s="47" t="e">
        <f t="shared" si="40"/>
        <v>#DIV/0!</v>
      </c>
      <c r="AB28" s="31">
        <f t="shared" si="41"/>
        <v>0</v>
      </c>
      <c r="AC28" s="28">
        <f t="shared" si="42"/>
        <v>31.142287348360846</v>
      </c>
      <c r="AD28" s="28">
        <f t="shared" si="43"/>
        <v>3114.2287348360846</v>
      </c>
      <c r="AE28" s="29" t="e">
        <f t="shared" si="44"/>
        <v>#DIV/0!</v>
      </c>
      <c r="AF28" s="27">
        <f t="shared" si="45"/>
        <v>0</v>
      </c>
      <c r="AG28" s="28">
        <f t="shared" si="46"/>
        <v>31.142287348360846</v>
      </c>
      <c r="AH28" s="28">
        <f t="shared" si="47"/>
        <v>3114.2287348360846</v>
      </c>
      <c r="AI28" s="47" t="e">
        <f t="shared" si="48"/>
        <v>#DIV/0!</v>
      </c>
      <c r="AJ28" s="31">
        <f t="shared" si="49"/>
        <v>0</v>
      </c>
      <c r="AK28" s="28">
        <f t="shared" si="50"/>
        <v>31.142287348360846</v>
      </c>
      <c r="AL28" s="28">
        <f t="shared" si="51"/>
        <v>3114.2287348360846</v>
      </c>
      <c r="AM28" s="29" t="e">
        <f t="shared" si="52"/>
        <v>#DIV/0!</v>
      </c>
      <c r="AN28" s="27">
        <f t="shared" si="53"/>
        <v>0</v>
      </c>
      <c r="AO28" s="28">
        <f t="shared" si="54"/>
        <v>31.142287348360846</v>
      </c>
      <c r="AP28" s="28">
        <f t="shared" si="55"/>
        <v>3114.2287348360846</v>
      </c>
      <c r="AQ28" s="47" t="e">
        <f t="shared" si="56"/>
        <v>#DIV/0!</v>
      </c>
      <c r="AR28" s="31">
        <f t="shared" si="57"/>
        <v>0</v>
      </c>
      <c r="AS28" s="28">
        <f t="shared" si="58"/>
        <v>31.142287348360846</v>
      </c>
      <c r="AT28" s="47">
        <f t="shared" si="59"/>
        <v>3114.2287348360846</v>
      </c>
      <c r="AU28" s="26" t="e">
        <f t="shared" si="60"/>
        <v>#DIV/0!</v>
      </c>
    </row>
    <row r="29" spans="2:47">
      <c r="B29" s="19"/>
      <c r="C29" s="19"/>
      <c r="D29" s="19"/>
      <c r="E29" s="19"/>
      <c r="F29" s="19"/>
      <c r="G29" s="14">
        <v>120</v>
      </c>
      <c r="H29" s="31">
        <f t="shared" si="22"/>
        <v>1.1990000000000001</v>
      </c>
      <c r="I29" s="28">
        <f t="shared" si="21"/>
        <v>408.78700043632489</v>
      </c>
      <c r="J29" s="28">
        <f t="shared" si="23"/>
        <v>40878.700043632489</v>
      </c>
      <c r="K29" s="47">
        <f t="shared" si="24"/>
        <v>34093.995032220591</v>
      </c>
      <c r="L29" s="31">
        <f t="shared" si="25"/>
        <v>1.6679999999999999</v>
      </c>
      <c r="M29" s="28">
        <f t="shared" si="26"/>
        <v>473.35356269859676</v>
      </c>
      <c r="N29" s="28">
        <f t="shared" si="27"/>
        <v>47335.35626985968</v>
      </c>
      <c r="O29" s="29">
        <f t="shared" si="28"/>
        <v>28378.510953153287</v>
      </c>
      <c r="P29" s="27">
        <f t="shared" si="29"/>
        <v>1.679</v>
      </c>
      <c r="Q29" s="28">
        <f t="shared" si="30"/>
        <v>442.23155067289741</v>
      </c>
      <c r="R29" s="28">
        <f t="shared" si="31"/>
        <v>44223.155067289743</v>
      </c>
      <c r="S29" s="47">
        <f t="shared" si="32"/>
        <v>26338.984554669292</v>
      </c>
      <c r="T29" s="31">
        <f t="shared" si="33"/>
        <v>0</v>
      </c>
      <c r="U29" s="28">
        <f t="shared" si="34"/>
        <v>31.142287348360846</v>
      </c>
      <c r="V29" s="28">
        <f t="shared" si="35"/>
        <v>3114.2287348360846</v>
      </c>
      <c r="W29" s="29" t="e">
        <f t="shared" si="36"/>
        <v>#DIV/0!</v>
      </c>
      <c r="X29" s="27">
        <f t="shared" si="37"/>
        <v>0</v>
      </c>
      <c r="Y29" s="28">
        <f t="shared" si="38"/>
        <v>31.142287348360846</v>
      </c>
      <c r="Z29" s="28">
        <f t="shared" si="39"/>
        <v>3114.2287348360846</v>
      </c>
      <c r="AA29" s="47" t="e">
        <f t="shared" si="40"/>
        <v>#DIV/0!</v>
      </c>
      <c r="AB29" s="31">
        <f t="shared" si="41"/>
        <v>0</v>
      </c>
      <c r="AC29" s="28">
        <f t="shared" si="42"/>
        <v>31.142287348360846</v>
      </c>
      <c r="AD29" s="28">
        <f t="shared" si="43"/>
        <v>3114.2287348360846</v>
      </c>
      <c r="AE29" s="29" t="e">
        <f t="shared" si="44"/>
        <v>#DIV/0!</v>
      </c>
      <c r="AF29" s="27">
        <f t="shared" si="45"/>
        <v>0</v>
      </c>
      <c r="AG29" s="28">
        <f t="shared" si="46"/>
        <v>31.142287348360846</v>
      </c>
      <c r="AH29" s="28">
        <f t="shared" si="47"/>
        <v>3114.2287348360846</v>
      </c>
      <c r="AI29" s="47" t="e">
        <f t="shared" si="48"/>
        <v>#DIV/0!</v>
      </c>
      <c r="AJ29" s="31">
        <f t="shared" si="49"/>
        <v>0</v>
      </c>
      <c r="AK29" s="28">
        <f t="shared" si="50"/>
        <v>31.142287348360846</v>
      </c>
      <c r="AL29" s="28">
        <f t="shared" si="51"/>
        <v>3114.2287348360846</v>
      </c>
      <c r="AM29" s="29" t="e">
        <f t="shared" si="52"/>
        <v>#DIV/0!</v>
      </c>
      <c r="AN29" s="27">
        <f t="shared" si="53"/>
        <v>0</v>
      </c>
      <c r="AO29" s="28">
        <f t="shared" si="54"/>
        <v>31.142287348360846</v>
      </c>
      <c r="AP29" s="28">
        <f t="shared" si="55"/>
        <v>3114.2287348360846</v>
      </c>
      <c r="AQ29" s="47" t="e">
        <f t="shared" si="56"/>
        <v>#DIV/0!</v>
      </c>
      <c r="AR29" s="31">
        <f t="shared" si="57"/>
        <v>0</v>
      </c>
      <c r="AS29" s="28">
        <f t="shared" si="58"/>
        <v>31.142287348360846</v>
      </c>
      <c r="AT29" s="47">
        <f t="shared" si="59"/>
        <v>3114.2287348360846</v>
      </c>
      <c r="AU29" s="26" t="e">
        <f t="shared" si="60"/>
        <v>#DIV/0!</v>
      </c>
    </row>
    <row r="30" spans="2:47">
      <c r="B30" s="19"/>
      <c r="C30" s="19"/>
      <c r="D30" s="19"/>
      <c r="E30" s="19"/>
      <c r="F30" s="19"/>
      <c r="G30" s="14">
        <v>150</v>
      </c>
      <c r="H30" s="31">
        <f t="shared" si="22"/>
        <v>1.177</v>
      </c>
      <c r="I30" s="28">
        <f t="shared" si="21"/>
        <v>485.43076139513681</v>
      </c>
      <c r="J30" s="28">
        <f t="shared" si="23"/>
        <v>48543.07613951368</v>
      </c>
      <c r="K30" s="47">
        <f t="shared" si="24"/>
        <v>41243.055343681968</v>
      </c>
      <c r="L30" s="31">
        <f t="shared" si="25"/>
        <v>1.802</v>
      </c>
      <c r="M30" s="28">
        <f t="shared" si="26"/>
        <v>461.27636400205671</v>
      </c>
      <c r="N30" s="28">
        <f t="shared" si="27"/>
        <v>46127.636400205673</v>
      </c>
      <c r="O30" s="29">
        <f t="shared" si="28"/>
        <v>25598.022419647987</v>
      </c>
      <c r="P30" s="27">
        <f t="shared" si="29"/>
        <v>1.851</v>
      </c>
      <c r="Q30" s="28">
        <f t="shared" si="30"/>
        <v>392.06472531803865</v>
      </c>
      <c r="R30" s="28">
        <f t="shared" si="31"/>
        <v>39206.472531803869</v>
      </c>
      <c r="S30" s="47">
        <f t="shared" si="32"/>
        <v>21181.238536901063</v>
      </c>
      <c r="T30" s="31">
        <f t="shared" si="33"/>
        <v>0</v>
      </c>
      <c r="U30" s="28">
        <f t="shared" si="34"/>
        <v>31.142287348360846</v>
      </c>
      <c r="V30" s="28">
        <f t="shared" si="35"/>
        <v>3114.2287348360846</v>
      </c>
      <c r="W30" s="29" t="e">
        <f t="shared" si="36"/>
        <v>#DIV/0!</v>
      </c>
      <c r="X30" s="27">
        <f t="shared" si="37"/>
        <v>0</v>
      </c>
      <c r="Y30" s="28">
        <f t="shared" si="38"/>
        <v>31.142287348360846</v>
      </c>
      <c r="Z30" s="28">
        <f t="shared" si="39"/>
        <v>3114.2287348360846</v>
      </c>
      <c r="AA30" s="47" t="e">
        <f t="shared" si="40"/>
        <v>#DIV/0!</v>
      </c>
      <c r="AB30" s="31">
        <f t="shared" si="41"/>
        <v>0</v>
      </c>
      <c r="AC30" s="28">
        <f t="shared" si="42"/>
        <v>31.142287348360846</v>
      </c>
      <c r="AD30" s="28">
        <f t="shared" si="43"/>
        <v>3114.2287348360846</v>
      </c>
      <c r="AE30" s="29" t="e">
        <f t="shared" si="44"/>
        <v>#DIV/0!</v>
      </c>
      <c r="AF30" s="27">
        <f t="shared" si="45"/>
        <v>0</v>
      </c>
      <c r="AG30" s="28">
        <f t="shared" si="46"/>
        <v>31.142287348360846</v>
      </c>
      <c r="AH30" s="28">
        <f t="shared" si="47"/>
        <v>3114.2287348360846</v>
      </c>
      <c r="AI30" s="47" t="e">
        <f t="shared" si="48"/>
        <v>#DIV/0!</v>
      </c>
      <c r="AJ30" s="31">
        <f t="shared" si="49"/>
        <v>0</v>
      </c>
      <c r="AK30" s="28">
        <f t="shared" si="50"/>
        <v>31.142287348360846</v>
      </c>
      <c r="AL30" s="28">
        <f t="shared" si="51"/>
        <v>3114.2287348360846</v>
      </c>
      <c r="AM30" s="29" t="e">
        <f t="shared" si="52"/>
        <v>#DIV/0!</v>
      </c>
      <c r="AN30" s="27">
        <f t="shared" si="53"/>
        <v>0</v>
      </c>
      <c r="AO30" s="28">
        <f t="shared" si="54"/>
        <v>31.142287348360846</v>
      </c>
      <c r="AP30" s="28">
        <f t="shared" si="55"/>
        <v>3114.2287348360846</v>
      </c>
      <c r="AQ30" s="47" t="e">
        <f t="shared" si="56"/>
        <v>#DIV/0!</v>
      </c>
      <c r="AR30" s="31">
        <f t="shared" si="57"/>
        <v>0</v>
      </c>
      <c r="AS30" s="28">
        <f t="shared" si="58"/>
        <v>31.142287348360846</v>
      </c>
      <c r="AT30" s="47">
        <f t="shared" si="59"/>
        <v>3114.2287348360846</v>
      </c>
      <c r="AU30" s="26" t="e">
        <f t="shared" si="60"/>
        <v>#DIV/0!</v>
      </c>
    </row>
    <row r="31" spans="2:47">
      <c r="B31" s="19"/>
      <c r="C31" s="19"/>
      <c r="D31" s="19"/>
      <c r="E31" s="19"/>
      <c r="F31" s="19"/>
      <c r="G31" s="14">
        <v>180</v>
      </c>
      <c r="H31" s="31">
        <f t="shared" si="22"/>
        <v>1.1399999999999999</v>
      </c>
      <c r="I31" s="28">
        <f t="shared" si="21"/>
        <v>475.2115932672952</v>
      </c>
      <c r="J31" s="28">
        <f t="shared" si="23"/>
        <v>47521.159326729517</v>
      </c>
      <c r="K31" s="47">
        <f t="shared" si="24"/>
        <v>41685.227479587302</v>
      </c>
      <c r="L31" s="31">
        <f t="shared" si="25"/>
        <v>1.964</v>
      </c>
      <c r="M31" s="28">
        <f t="shared" si="26"/>
        <v>713.03950606069941</v>
      </c>
      <c r="N31" s="28">
        <f t="shared" si="27"/>
        <v>71303.950606069935</v>
      </c>
      <c r="O31" s="29">
        <f t="shared" si="28"/>
        <v>36305.473832011172</v>
      </c>
      <c r="P31" s="27">
        <f t="shared" si="29"/>
        <v>1.8360000000000001</v>
      </c>
      <c r="Q31" s="28">
        <f t="shared" si="30"/>
        <v>354.90411394406931</v>
      </c>
      <c r="R31" s="28">
        <f t="shared" si="31"/>
        <v>35490.411394406932</v>
      </c>
      <c r="S31" s="47">
        <f t="shared" si="32"/>
        <v>19330.289430504865</v>
      </c>
      <c r="T31" s="31">
        <f t="shared" si="33"/>
        <v>0</v>
      </c>
      <c r="U31" s="28">
        <f t="shared" si="34"/>
        <v>31.142287348360846</v>
      </c>
      <c r="V31" s="28">
        <f t="shared" si="35"/>
        <v>3114.2287348360846</v>
      </c>
      <c r="W31" s="29" t="e">
        <f t="shared" si="36"/>
        <v>#DIV/0!</v>
      </c>
      <c r="X31" s="27">
        <f t="shared" si="37"/>
        <v>0</v>
      </c>
      <c r="Y31" s="28">
        <f t="shared" si="38"/>
        <v>31.142287348360846</v>
      </c>
      <c r="Z31" s="28">
        <f t="shared" si="39"/>
        <v>3114.2287348360846</v>
      </c>
      <c r="AA31" s="47" t="e">
        <f t="shared" si="40"/>
        <v>#DIV/0!</v>
      </c>
      <c r="AB31" s="31">
        <f t="shared" si="41"/>
        <v>0</v>
      </c>
      <c r="AC31" s="28">
        <f t="shared" si="42"/>
        <v>31.142287348360846</v>
      </c>
      <c r="AD31" s="28">
        <f t="shared" si="43"/>
        <v>3114.2287348360846</v>
      </c>
      <c r="AE31" s="29" t="e">
        <f t="shared" si="44"/>
        <v>#DIV/0!</v>
      </c>
      <c r="AF31" s="27">
        <f t="shared" si="45"/>
        <v>0</v>
      </c>
      <c r="AG31" s="28">
        <f t="shared" si="46"/>
        <v>31.142287348360846</v>
      </c>
      <c r="AH31" s="28">
        <f t="shared" si="47"/>
        <v>3114.2287348360846</v>
      </c>
      <c r="AI31" s="47" t="e">
        <f t="shared" si="48"/>
        <v>#DIV/0!</v>
      </c>
      <c r="AJ31" s="31">
        <f t="shared" si="49"/>
        <v>0</v>
      </c>
      <c r="AK31" s="28">
        <f t="shared" si="50"/>
        <v>31.142287348360846</v>
      </c>
      <c r="AL31" s="28">
        <f t="shared" si="51"/>
        <v>3114.2287348360846</v>
      </c>
      <c r="AM31" s="29" t="e">
        <f t="shared" si="52"/>
        <v>#DIV/0!</v>
      </c>
      <c r="AN31" s="27">
        <f t="shared" si="53"/>
        <v>0</v>
      </c>
      <c r="AO31" s="28">
        <f t="shared" si="54"/>
        <v>31.142287348360846</v>
      </c>
      <c r="AP31" s="28">
        <f t="shared" si="55"/>
        <v>3114.2287348360846</v>
      </c>
      <c r="AQ31" s="47" t="e">
        <f t="shared" si="56"/>
        <v>#DIV/0!</v>
      </c>
      <c r="AR31" s="31">
        <f t="shared" si="57"/>
        <v>0</v>
      </c>
      <c r="AS31" s="28">
        <f t="shared" si="58"/>
        <v>31.142287348360846</v>
      </c>
      <c r="AT31" s="47">
        <f t="shared" si="59"/>
        <v>3114.2287348360846</v>
      </c>
      <c r="AU31" s="26" t="e">
        <f t="shared" si="60"/>
        <v>#DIV/0!</v>
      </c>
    </row>
    <row r="32" spans="2:47">
      <c r="B32" s="19"/>
      <c r="C32" s="19"/>
      <c r="D32" s="19"/>
      <c r="E32" s="19"/>
      <c r="F32" s="19"/>
      <c r="G32" s="14">
        <v>210</v>
      </c>
      <c r="H32" s="31">
        <f t="shared" si="22"/>
        <v>0</v>
      </c>
      <c r="I32" s="28">
        <f t="shared" si="21"/>
        <v>31.142287348360846</v>
      </c>
      <c r="J32" s="28">
        <f t="shared" si="23"/>
        <v>3114.2287348360846</v>
      </c>
      <c r="K32" s="47" t="e">
        <f t="shared" si="24"/>
        <v>#DIV/0!</v>
      </c>
      <c r="L32" s="31">
        <f t="shared" si="25"/>
        <v>0</v>
      </c>
      <c r="M32" s="28">
        <f t="shared" si="26"/>
        <v>31.142287348360846</v>
      </c>
      <c r="N32" s="28">
        <f t="shared" si="27"/>
        <v>3114.2287348360846</v>
      </c>
      <c r="O32" s="29" t="e">
        <f t="shared" si="28"/>
        <v>#DIV/0!</v>
      </c>
      <c r="P32" s="27">
        <f t="shared" si="29"/>
        <v>0</v>
      </c>
      <c r="Q32" s="28">
        <f t="shared" si="30"/>
        <v>31.142287348360846</v>
      </c>
      <c r="R32" s="28">
        <f t="shared" si="31"/>
        <v>3114.2287348360846</v>
      </c>
      <c r="S32" s="47" t="e">
        <f t="shared" si="32"/>
        <v>#DIV/0!</v>
      </c>
      <c r="T32" s="31">
        <f t="shared" si="33"/>
        <v>0</v>
      </c>
      <c r="U32" s="28">
        <f t="shared" si="34"/>
        <v>31.142287348360846</v>
      </c>
      <c r="V32" s="28">
        <f t="shared" si="35"/>
        <v>3114.2287348360846</v>
      </c>
      <c r="W32" s="29" t="e">
        <f t="shared" si="36"/>
        <v>#DIV/0!</v>
      </c>
      <c r="X32" s="27">
        <f t="shared" si="37"/>
        <v>0</v>
      </c>
      <c r="Y32" s="28">
        <f t="shared" si="38"/>
        <v>31.142287348360846</v>
      </c>
      <c r="Z32" s="28">
        <f t="shared" si="39"/>
        <v>3114.2287348360846</v>
      </c>
      <c r="AA32" s="47" t="e">
        <f t="shared" si="40"/>
        <v>#DIV/0!</v>
      </c>
      <c r="AB32" s="31">
        <f t="shared" si="41"/>
        <v>0</v>
      </c>
      <c r="AC32" s="28">
        <f t="shared" si="42"/>
        <v>31.142287348360846</v>
      </c>
      <c r="AD32" s="28">
        <f t="shared" si="43"/>
        <v>3114.2287348360846</v>
      </c>
      <c r="AE32" s="29" t="e">
        <f t="shared" si="44"/>
        <v>#DIV/0!</v>
      </c>
      <c r="AF32" s="27">
        <f t="shared" si="45"/>
        <v>0</v>
      </c>
      <c r="AG32" s="28">
        <f t="shared" si="46"/>
        <v>31.142287348360846</v>
      </c>
      <c r="AH32" s="28">
        <f t="shared" si="47"/>
        <v>3114.2287348360846</v>
      </c>
      <c r="AI32" s="47" t="e">
        <f t="shared" si="48"/>
        <v>#DIV/0!</v>
      </c>
      <c r="AJ32" s="31">
        <f t="shared" si="49"/>
        <v>0</v>
      </c>
      <c r="AK32" s="28">
        <f t="shared" si="50"/>
        <v>31.142287348360846</v>
      </c>
      <c r="AL32" s="28">
        <f t="shared" si="51"/>
        <v>3114.2287348360846</v>
      </c>
      <c r="AM32" s="29" t="e">
        <f t="shared" si="52"/>
        <v>#DIV/0!</v>
      </c>
      <c r="AN32" s="27">
        <f t="shared" si="53"/>
        <v>0</v>
      </c>
      <c r="AO32" s="28">
        <f t="shared" si="54"/>
        <v>31.142287348360846</v>
      </c>
      <c r="AP32" s="28">
        <f t="shared" si="55"/>
        <v>3114.2287348360846</v>
      </c>
      <c r="AQ32" s="47" t="e">
        <f t="shared" si="56"/>
        <v>#DIV/0!</v>
      </c>
      <c r="AR32" s="31">
        <f t="shared" si="57"/>
        <v>0</v>
      </c>
      <c r="AS32" s="28">
        <f t="shared" si="58"/>
        <v>31.142287348360846</v>
      </c>
      <c r="AT32" s="47">
        <f t="shared" si="59"/>
        <v>3114.2287348360846</v>
      </c>
      <c r="AU32" s="26" t="e">
        <f t="shared" si="60"/>
        <v>#DIV/0!</v>
      </c>
    </row>
    <row r="33" spans="2:47" ht="15" thickBot="1">
      <c r="B33" s="19"/>
      <c r="C33" s="19"/>
      <c r="D33" s="19"/>
      <c r="E33" s="19"/>
      <c r="F33" s="19"/>
      <c r="G33" s="15">
        <v>240</v>
      </c>
      <c r="H33" s="38">
        <f t="shared" si="22"/>
        <v>0</v>
      </c>
      <c r="I33" s="40">
        <f t="shared" si="21"/>
        <v>31.142287348360846</v>
      </c>
      <c r="J33" s="40">
        <f t="shared" si="23"/>
        <v>3114.2287348360846</v>
      </c>
      <c r="K33" s="48" t="e">
        <f t="shared" si="24"/>
        <v>#DIV/0!</v>
      </c>
      <c r="L33" s="38">
        <f t="shared" si="25"/>
        <v>0</v>
      </c>
      <c r="M33" s="40">
        <f t="shared" si="26"/>
        <v>31.142287348360846</v>
      </c>
      <c r="N33" s="40">
        <f t="shared" si="27"/>
        <v>3114.2287348360846</v>
      </c>
      <c r="O33" s="39" t="e">
        <f t="shared" si="28"/>
        <v>#DIV/0!</v>
      </c>
      <c r="P33" s="33">
        <f t="shared" si="29"/>
        <v>0</v>
      </c>
      <c r="Q33" s="40">
        <f t="shared" si="30"/>
        <v>31.142287348360846</v>
      </c>
      <c r="R33" s="40">
        <f t="shared" si="31"/>
        <v>3114.2287348360846</v>
      </c>
      <c r="S33" s="48" t="e">
        <f t="shared" si="32"/>
        <v>#DIV/0!</v>
      </c>
      <c r="T33" s="38">
        <f t="shared" si="33"/>
        <v>0</v>
      </c>
      <c r="U33" s="40">
        <f t="shared" si="34"/>
        <v>31.142287348360846</v>
      </c>
      <c r="V33" s="40">
        <f t="shared" si="35"/>
        <v>3114.2287348360846</v>
      </c>
      <c r="W33" s="39" t="e">
        <f t="shared" si="36"/>
        <v>#DIV/0!</v>
      </c>
      <c r="X33" s="33">
        <f t="shared" si="37"/>
        <v>0</v>
      </c>
      <c r="Y33" s="40">
        <f t="shared" si="38"/>
        <v>31.142287348360846</v>
      </c>
      <c r="Z33" s="40">
        <f t="shared" si="39"/>
        <v>3114.2287348360846</v>
      </c>
      <c r="AA33" s="48" t="e">
        <f t="shared" si="40"/>
        <v>#DIV/0!</v>
      </c>
      <c r="AB33" s="38">
        <f t="shared" si="41"/>
        <v>0</v>
      </c>
      <c r="AC33" s="40">
        <f t="shared" si="42"/>
        <v>31.142287348360846</v>
      </c>
      <c r="AD33" s="40">
        <f t="shared" si="43"/>
        <v>3114.2287348360846</v>
      </c>
      <c r="AE33" s="39" t="e">
        <f t="shared" si="44"/>
        <v>#DIV/0!</v>
      </c>
      <c r="AF33" s="33">
        <f t="shared" si="45"/>
        <v>0</v>
      </c>
      <c r="AG33" s="40">
        <f t="shared" si="46"/>
        <v>31.142287348360846</v>
      </c>
      <c r="AH33" s="40">
        <f t="shared" si="47"/>
        <v>3114.2287348360846</v>
      </c>
      <c r="AI33" s="48" t="e">
        <f t="shared" si="48"/>
        <v>#DIV/0!</v>
      </c>
      <c r="AJ33" s="38">
        <f t="shared" si="49"/>
        <v>0</v>
      </c>
      <c r="AK33" s="40">
        <f t="shared" si="50"/>
        <v>31.142287348360846</v>
      </c>
      <c r="AL33" s="40">
        <f t="shared" si="51"/>
        <v>3114.2287348360846</v>
      </c>
      <c r="AM33" s="39" t="e">
        <f t="shared" si="52"/>
        <v>#DIV/0!</v>
      </c>
      <c r="AN33" s="33">
        <f t="shared" si="53"/>
        <v>0</v>
      </c>
      <c r="AO33" s="40">
        <f t="shared" si="54"/>
        <v>31.142287348360846</v>
      </c>
      <c r="AP33" s="40">
        <f t="shared" si="55"/>
        <v>3114.2287348360846</v>
      </c>
      <c r="AQ33" s="48" t="e">
        <f t="shared" si="56"/>
        <v>#DIV/0!</v>
      </c>
      <c r="AR33" s="38">
        <f t="shared" si="57"/>
        <v>0</v>
      </c>
      <c r="AS33" s="40">
        <f t="shared" si="58"/>
        <v>31.142287348360846</v>
      </c>
      <c r="AT33" s="48">
        <f t="shared" si="59"/>
        <v>3114.2287348360846</v>
      </c>
      <c r="AU33" s="32" t="e">
        <f t="shared" si="60"/>
        <v>#DIV/0!</v>
      </c>
    </row>
    <row r="34" spans="2:47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spans="2:47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 spans="2:47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 spans="2:47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spans="2:47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spans="2:47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spans="2:47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 spans="2:47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 spans="2:47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 spans="2:47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spans="2:47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spans="2:47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7" spans="2:47">
      <c r="G47" s="7"/>
    </row>
    <row r="48" spans="2:4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</sheetData>
  <mergeCells count="22">
    <mergeCell ref="AN21:AQ21"/>
    <mergeCell ref="AR21:AU21"/>
    <mergeCell ref="AN6:AQ6"/>
    <mergeCell ref="AR6:AU6"/>
    <mergeCell ref="H21:K21"/>
    <mergeCell ref="L21:O21"/>
    <mergeCell ref="P21:S21"/>
    <mergeCell ref="T21:W21"/>
    <mergeCell ref="X21:AA21"/>
    <mergeCell ref="AB21:AE21"/>
    <mergeCell ref="AF21:AI21"/>
    <mergeCell ref="AJ21:AM21"/>
    <mergeCell ref="B5:E5"/>
    <mergeCell ref="H5:AU5"/>
    <mergeCell ref="H6:K6"/>
    <mergeCell ref="L6:O6"/>
    <mergeCell ref="P6:S6"/>
    <mergeCell ref="T6:W6"/>
    <mergeCell ref="X6:AA6"/>
    <mergeCell ref="AB6:AE6"/>
    <mergeCell ref="AF6:AI6"/>
    <mergeCell ref="AJ6:AM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5570-1246-4D0A-A180-D41DFE2BE721}">
  <dimension ref="B4:AU70"/>
  <sheetViews>
    <sheetView topLeftCell="AR2" zoomScale="70" zoomScaleNormal="70" workbookViewId="0">
      <selection activeCell="BH25" sqref="BH25"/>
    </sheetView>
  </sheetViews>
  <sheetFormatPr defaultColWidth="11.42578125" defaultRowHeight="14.45"/>
  <cols>
    <col min="2" max="2" width="11.140625" bestFit="1" customWidth="1"/>
    <col min="3" max="3" width="9.5703125" bestFit="1" customWidth="1"/>
    <col min="4" max="4" width="10.85546875" bestFit="1" customWidth="1"/>
    <col min="5" max="5" width="15.5703125" bestFit="1" customWidth="1"/>
    <col min="7" max="7" width="12.42578125" bestFit="1" customWidth="1"/>
    <col min="8" max="8" width="11.140625" bestFit="1" customWidth="1"/>
    <col min="9" max="9" width="9.5703125" bestFit="1" customWidth="1"/>
    <col min="10" max="10" width="14.5703125" bestFit="1" customWidth="1"/>
    <col min="11" max="11" width="17.5703125" bestFit="1" customWidth="1"/>
    <col min="12" max="12" width="11.140625" bestFit="1" customWidth="1"/>
    <col min="13" max="13" width="9.5703125" bestFit="1" customWidth="1"/>
    <col min="14" max="14" width="14.5703125" bestFit="1" customWidth="1"/>
    <col min="15" max="15" width="17.5703125" bestFit="1" customWidth="1"/>
    <col min="16" max="16" width="11.140625" bestFit="1" customWidth="1"/>
    <col min="17" max="17" width="9.5703125" bestFit="1" customWidth="1"/>
    <col min="18" max="18" width="14.5703125" bestFit="1" customWidth="1"/>
    <col min="19" max="19" width="17.5703125" bestFit="1" customWidth="1"/>
    <col min="20" max="20" width="11.140625" bestFit="1" customWidth="1"/>
    <col min="21" max="21" width="9.5703125" bestFit="1" customWidth="1"/>
    <col min="22" max="22" width="14.5703125" bestFit="1" customWidth="1"/>
    <col min="23" max="23" width="17.5703125" bestFit="1" customWidth="1"/>
    <col min="24" max="24" width="11.140625" bestFit="1" customWidth="1"/>
    <col min="25" max="25" width="9.5703125" bestFit="1" customWidth="1"/>
    <col min="26" max="26" width="14.5703125" bestFit="1" customWidth="1"/>
    <col min="27" max="27" width="17.5703125" bestFit="1" customWidth="1"/>
    <col min="28" max="28" width="11.140625" bestFit="1" customWidth="1"/>
    <col min="29" max="29" width="9.5703125" bestFit="1" customWidth="1"/>
    <col min="30" max="30" width="14.5703125" bestFit="1" customWidth="1"/>
    <col min="31" max="31" width="17.5703125" bestFit="1" customWidth="1"/>
    <col min="32" max="32" width="11.140625" bestFit="1" customWidth="1"/>
    <col min="33" max="33" width="9.5703125" bestFit="1" customWidth="1"/>
    <col min="34" max="34" width="14.5703125" bestFit="1" customWidth="1"/>
    <col min="35" max="35" width="17.5703125" bestFit="1" customWidth="1"/>
    <col min="36" max="36" width="11.140625" bestFit="1" customWidth="1"/>
    <col min="37" max="37" width="9.5703125" bestFit="1" customWidth="1"/>
    <col min="38" max="38" width="14.5703125" bestFit="1" customWidth="1"/>
    <col min="39" max="39" width="17.5703125" bestFit="1" customWidth="1"/>
    <col min="40" max="40" width="11.140625" bestFit="1" customWidth="1"/>
    <col min="41" max="41" width="9.5703125" bestFit="1" customWidth="1"/>
    <col min="42" max="42" width="14.5703125" bestFit="1" customWidth="1"/>
    <col min="43" max="43" width="17.5703125" bestFit="1" customWidth="1"/>
    <col min="44" max="44" width="11.140625" bestFit="1" customWidth="1"/>
    <col min="45" max="45" width="9.5703125" bestFit="1" customWidth="1"/>
    <col min="46" max="46" width="14.5703125" bestFit="1" customWidth="1"/>
    <col min="47" max="47" width="17.5703125" bestFit="1" customWidth="1"/>
  </cols>
  <sheetData>
    <row r="4" spans="2:47" ht="15" thickBot="1"/>
    <row r="5" spans="2:47" ht="15" thickBot="1">
      <c r="B5" s="100" t="s">
        <v>0</v>
      </c>
      <c r="C5" s="101"/>
      <c r="D5" s="101"/>
      <c r="E5" s="102"/>
      <c r="F5" s="19"/>
      <c r="G5" s="19"/>
      <c r="H5" s="103" t="s">
        <v>1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</row>
    <row r="6" spans="2:47" ht="16.899999999999999" thickBot="1">
      <c r="B6" s="20" t="s">
        <v>2</v>
      </c>
      <c r="C6" s="21" t="s">
        <v>3</v>
      </c>
      <c r="D6" s="17" t="s">
        <v>4</v>
      </c>
      <c r="E6" s="18" t="s">
        <v>5</v>
      </c>
      <c r="F6" s="19"/>
      <c r="G6" s="19"/>
      <c r="H6" s="76" t="s">
        <v>6</v>
      </c>
      <c r="I6" s="77"/>
      <c r="J6" s="77"/>
      <c r="K6" s="78"/>
      <c r="L6" s="79" t="s">
        <v>7</v>
      </c>
      <c r="M6" s="80"/>
      <c r="N6" s="80"/>
      <c r="O6" s="81"/>
      <c r="P6" s="82" t="s">
        <v>83</v>
      </c>
      <c r="Q6" s="83"/>
      <c r="R6" s="83"/>
      <c r="S6" s="84"/>
      <c r="T6" s="85" t="s">
        <v>84</v>
      </c>
      <c r="U6" s="86"/>
      <c r="V6" s="86"/>
      <c r="W6" s="87"/>
      <c r="X6" s="88" t="s">
        <v>85</v>
      </c>
      <c r="Y6" s="89"/>
      <c r="Z6" s="89"/>
      <c r="AA6" s="90"/>
      <c r="AB6" s="91" t="s">
        <v>86</v>
      </c>
      <c r="AC6" s="92"/>
      <c r="AD6" s="92"/>
      <c r="AE6" s="93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</row>
    <row r="7" spans="2:47" ht="16.899999999999999" thickBot="1">
      <c r="B7" s="22">
        <v>0</v>
      </c>
      <c r="C7" s="23">
        <v>8.8999999999999996E-2</v>
      </c>
      <c r="D7" s="24">
        <v>0.121</v>
      </c>
      <c r="E7" s="25">
        <f>(C7+D7)/2</f>
        <v>0.105</v>
      </c>
      <c r="F7" s="19"/>
      <c r="G7" s="66" t="s">
        <v>16</v>
      </c>
      <c r="H7" s="16" t="s">
        <v>17</v>
      </c>
      <c r="I7" s="17" t="s">
        <v>3</v>
      </c>
      <c r="J7" s="17" t="s">
        <v>4</v>
      </c>
      <c r="K7" s="18" t="s">
        <v>5</v>
      </c>
      <c r="L7" s="21" t="s">
        <v>17</v>
      </c>
      <c r="M7" s="17" t="s">
        <v>3</v>
      </c>
      <c r="N7" s="17" t="s">
        <v>4</v>
      </c>
      <c r="O7" s="18" t="s">
        <v>5</v>
      </c>
      <c r="P7" s="16" t="s">
        <v>17</v>
      </c>
      <c r="Q7" s="17" t="s">
        <v>3</v>
      </c>
      <c r="R7" s="17" t="s">
        <v>4</v>
      </c>
      <c r="S7" s="18" t="s">
        <v>5</v>
      </c>
      <c r="T7" s="21" t="s">
        <v>17</v>
      </c>
      <c r="U7" s="17" t="s">
        <v>3</v>
      </c>
      <c r="V7" s="17" t="s">
        <v>4</v>
      </c>
      <c r="W7" s="18" t="s">
        <v>5</v>
      </c>
      <c r="X7" s="16" t="s">
        <v>17</v>
      </c>
      <c r="Y7" s="17" t="s">
        <v>3</v>
      </c>
      <c r="Z7" s="17" t="s">
        <v>4</v>
      </c>
      <c r="AA7" s="18" t="s">
        <v>5</v>
      </c>
      <c r="AB7" s="21" t="s">
        <v>17</v>
      </c>
      <c r="AC7" s="17" t="s">
        <v>3</v>
      </c>
      <c r="AD7" s="17" t="s">
        <v>4</v>
      </c>
      <c r="AE7" s="18" t="s">
        <v>5</v>
      </c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</row>
    <row r="8" spans="2:47">
      <c r="B8" s="26">
        <v>25</v>
      </c>
      <c r="C8" s="27">
        <v>0.248</v>
      </c>
      <c r="D8" s="28">
        <v>0.26700000000000002</v>
      </c>
      <c r="E8" s="29">
        <f t="shared" ref="E8:E15" si="0">(C8+D8)/2</f>
        <v>0.25750000000000001</v>
      </c>
      <c r="F8" s="19"/>
      <c r="G8" s="13">
        <v>0</v>
      </c>
      <c r="H8" s="30">
        <v>0.70699999999999996</v>
      </c>
      <c r="I8" s="24">
        <v>1.2929999999999999</v>
      </c>
      <c r="J8" s="24">
        <v>1.351</v>
      </c>
      <c r="K8" s="25">
        <f>(I8+J8)/2</f>
        <v>1.3220000000000001</v>
      </c>
      <c r="L8" s="23">
        <v>0.83299999999999996</v>
      </c>
      <c r="M8" s="24">
        <v>0.48099999999999998</v>
      </c>
      <c r="N8" s="24">
        <v>0.43</v>
      </c>
      <c r="O8" s="25">
        <f>(M8+N8)/2</f>
        <v>0.45550000000000002</v>
      </c>
      <c r="P8" s="30">
        <v>1.3640000000000001</v>
      </c>
      <c r="Q8" s="24">
        <v>0.90400000000000003</v>
      </c>
      <c r="R8" s="24">
        <v>0.78600000000000003</v>
      </c>
      <c r="S8" s="25">
        <f t="shared" ref="S8" si="1">(Q8+R8)/2</f>
        <v>0.84499999999999997</v>
      </c>
      <c r="T8" s="23">
        <v>0.56399999999999995</v>
      </c>
      <c r="U8" s="24">
        <v>0.251</v>
      </c>
      <c r="V8" s="24">
        <v>0.22600000000000001</v>
      </c>
      <c r="W8" s="25">
        <f t="shared" ref="W8" si="2">(U8+V8)/2</f>
        <v>0.23849999999999999</v>
      </c>
      <c r="X8" s="30">
        <v>1.379</v>
      </c>
      <c r="Y8" s="24">
        <v>0.41</v>
      </c>
      <c r="Z8" s="24">
        <v>0.34399999999999997</v>
      </c>
      <c r="AA8" s="25">
        <f t="shared" ref="AA8" si="3">(Y8+Z8)/2</f>
        <v>0.377</v>
      </c>
      <c r="AB8" s="23">
        <v>0.58699999999999997</v>
      </c>
      <c r="AC8" s="24">
        <v>0.32900000000000001</v>
      </c>
      <c r="AD8" s="24">
        <v>0.152</v>
      </c>
      <c r="AE8" s="25">
        <f>(AC8+AD8)/2</f>
        <v>0.24049999999999999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</row>
    <row r="9" spans="2:47">
      <c r="B9" s="26">
        <v>50</v>
      </c>
      <c r="C9" s="27">
        <v>0.316</v>
      </c>
      <c r="D9" s="28">
        <v>0.33300000000000002</v>
      </c>
      <c r="E9" s="29">
        <f t="shared" si="0"/>
        <v>0.32450000000000001</v>
      </c>
      <c r="F9" s="19"/>
      <c r="G9" s="14">
        <v>30</v>
      </c>
      <c r="H9" s="31">
        <v>0.61099999999999999</v>
      </c>
      <c r="I9" s="28">
        <v>2.7679999999999998</v>
      </c>
      <c r="J9" s="28">
        <v>2.7930000000000001</v>
      </c>
      <c r="K9" s="29">
        <f>(I9+J9)/2</f>
        <v>2.7805</v>
      </c>
      <c r="L9" s="27">
        <v>1.2410000000000001</v>
      </c>
      <c r="M9" s="28">
        <v>1.097</v>
      </c>
      <c r="N9" s="28">
        <v>0.70599999999999996</v>
      </c>
      <c r="O9" s="29">
        <f>(M9+N9)/2</f>
        <v>0.90149999999999997</v>
      </c>
      <c r="P9" s="27">
        <v>1.871</v>
      </c>
      <c r="Q9" s="28">
        <v>0.504</v>
      </c>
      <c r="R9" s="28">
        <v>0.54200000000000004</v>
      </c>
      <c r="S9" s="29">
        <f>(Q9+R9)/2</f>
        <v>0.52300000000000002</v>
      </c>
      <c r="T9" s="31">
        <v>0.56999999999999995</v>
      </c>
      <c r="U9" s="28">
        <v>0.216</v>
      </c>
      <c r="V9" s="28">
        <v>0.249</v>
      </c>
      <c r="W9" s="29">
        <f>(U9+V9)/2</f>
        <v>0.23249999999999998</v>
      </c>
      <c r="X9" s="31">
        <v>2.1789999999999998</v>
      </c>
      <c r="Y9" s="28">
        <v>0.442</v>
      </c>
      <c r="Z9" s="28">
        <v>0.46200000000000002</v>
      </c>
      <c r="AA9" s="29">
        <f>(Y9+Z9)/2</f>
        <v>0.45200000000000001</v>
      </c>
      <c r="AB9" s="27">
        <v>0.53200000000000003</v>
      </c>
      <c r="AC9" s="28">
        <v>0.247</v>
      </c>
      <c r="AD9" s="28">
        <v>0.25900000000000001</v>
      </c>
      <c r="AE9" s="29">
        <f>(AC9+AD9)/2</f>
        <v>0.253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spans="2:47">
      <c r="B10" s="26">
        <v>100</v>
      </c>
      <c r="C10" s="27">
        <v>0.41</v>
      </c>
      <c r="D10" s="28">
        <v>0.38</v>
      </c>
      <c r="E10" s="29">
        <f t="shared" si="0"/>
        <v>0.39500000000000002</v>
      </c>
      <c r="F10" s="19"/>
      <c r="G10" s="14">
        <v>60</v>
      </c>
      <c r="H10" s="31">
        <v>0.61299999999999999</v>
      </c>
      <c r="I10" s="28">
        <v>1.7030000000000001</v>
      </c>
      <c r="J10" s="28">
        <v>2.2149999999999999</v>
      </c>
      <c r="K10" s="29">
        <f>(I10+J10)/2</f>
        <v>1.9590000000000001</v>
      </c>
      <c r="L10" s="27">
        <v>1.5329999999999999</v>
      </c>
      <c r="M10" s="28">
        <v>1.3540000000000001</v>
      </c>
      <c r="N10" s="28">
        <v>1.2909999999999999</v>
      </c>
      <c r="O10" s="29">
        <f>(M10+N10)/2</f>
        <v>1.3225</v>
      </c>
      <c r="P10" s="31">
        <v>1.9159999999999999</v>
      </c>
      <c r="Q10" s="28">
        <v>0.70399999999999996</v>
      </c>
      <c r="R10" s="28">
        <v>1.024</v>
      </c>
      <c r="S10" s="29">
        <f>(Q10+R10)/2</f>
        <v>0.86399999999999999</v>
      </c>
      <c r="T10" s="27">
        <v>0.58399999999999996</v>
      </c>
      <c r="U10" s="28">
        <v>0.23200000000000001</v>
      </c>
      <c r="V10" s="28">
        <v>0.35399999999999998</v>
      </c>
      <c r="W10" s="29">
        <f>(U10+V10)/2</f>
        <v>0.29299999999999998</v>
      </c>
      <c r="X10" s="31">
        <f>1.975*2</f>
        <v>3.95</v>
      </c>
      <c r="Y10" s="28">
        <v>0.33200000000000002</v>
      </c>
      <c r="Z10" s="28">
        <v>0.33200000000000002</v>
      </c>
      <c r="AA10" s="29">
        <f>(Y10+Z10)/2</f>
        <v>0.33200000000000002</v>
      </c>
      <c r="AB10" s="27">
        <v>0.497</v>
      </c>
      <c r="AC10" s="28">
        <v>0.23300000000000001</v>
      </c>
      <c r="AD10" s="51">
        <v>0.78200000000000003</v>
      </c>
      <c r="AE10" s="29">
        <f>AC10</f>
        <v>0.23300000000000001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</row>
    <row r="11" spans="2:47">
      <c r="B11" s="26">
        <v>200</v>
      </c>
      <c r="C11" s="27">
        <v>0.436</v>
      </c>
      <c r="D11" s="28">
        <v>0.51400000000000001</v>
      </c>
      <c r="E11" s="29">
        <f t="shared" si="0"/>
        <v>0.47499999999999998</v>
      </c>
      <c r="F11" s="19"/>
      <c r="G11" s="14">
        <v>90</v>
      </c>
      <c r="H11" s="31">
        <v>0.60399999999999998</v>
      </c>
      <c r="I11" s="28">
        <v>1.609</v>
      </c>
      <c r="J11" s="28">
        <v>1.34</v>
      </c>
      <c r="K11" s="29">
        <f>(I11+J11)/2</f>
        <v>1.4744999999999999</v>
      </c>
      <c r="L11" s="27">
        <v>1.6519999999999999</v>
      </c>
      <c r="M11" s="28">
        <v>1.1679999999999999</v>
      </c>
      <c r="N11" s="28">
        <v>1.2070000000000001</v>
      </c>
      <c r="O11" s="29">
        <f>(M11+N11)/2</f>
        <v>1.1875</v>
      </c>
      <c r="P11" s="31">
        <v>2.0419999999999998</v>
      </c>
      <c r="Q11" s="28">
        <v>1.49</v>
      </c>
      <c r="R11" s="28">
        <v>1.228</v>
      </c>
      <c r="S11" s="29">
        <f>(Q11+R11)/2</f>
        <v>1.359</v>
      </c>
      <c r="T11" s="27">
        <v>0.61799999999999999</v>
      </c>
      <c r="U11" s="28">
        <v>0.19400000000000001</v>
      </c>
      <c r="V11" s="28">
        <v>0.21099999999999999</v>
      </c>
      <c r="W11" s="29">
        <f>(U11+V11)/2</f>
        <v>0.20250000000000001</v>
      </c>
      <c r="X11" s="31">
        <v>2.4809999999999999</v>
      </c>
      <c r="Y11" s="28">
        <v>0.44600000000000001</v>
      </c>
      <c r="Z11" s="28">
        <v>0.439</v>
      </c>
      <c r="AA11" s="29">
        <f>(Y11+Z11)/2</f>
        <v>0.4425</v>
      </c>
      <c r="AB11" s="27">
        <v>0.48799999999999999</v>
      </c>
      <c r="AC11" s="28">
        <v>0.32900000000000001</v>
      </c>
      <c r="AD11" s="28">
        <v>0.42399999999999999</v>
      </c>
      <c r="AE11" s="29">
        <f>(AC11+AD11)/2</f>
        <v>0.3765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</row>
    <row r="12" spans="2:47" ht="15" thickBot="1">
      <c r="B12" s="26">
        <v>250</v>
      </c>
      <c r="C12" s="27">
        <v>1.9359999999999999</v>
      </c>
      <c r="D12" s="28">
        <v>2.024</v>
      </c>
      <c r="E12" s="29">
        <f t="shared" si="0"/>
        <v>1.98</v>
      </c>
      <c r="F12" s="19"/>
      <c r="G12" s="15">
        <v>120</v>
      </c>
      <c r="H12" s="38">
        <v>0.57799999999999996</v>
      </c>
      <c r="I12" s="40">
        <v>1.5449999999999999</v>
      </c>
      <c r="J12" s="40">
        <v>1.4810000000000001</v>
      </c>
      <c r="K12" s="39">
        <f>(I12+J12)/2</f>
        <v>1.5129999999999999</v>
      </c>
      <c r="L12" s="33">
        <v>1.6919999999999999</v>
      </c>
      <c r="M12" s="40">
        <v>0.874</v>
      </c>
      <c r="N12" s="40">
        <v>0.90500000000000003</v>
      </c>
      <c r="O12" s="39">
        <f>(M12+N12)/2</f>
        <v>0.88949999999999996</v>
      </c>
      <c r="P12" s="38">
        <v>2.1720000000000002</v>
      </c>
      <c r="Q12" s="40">
        <v>1.581</v>
      </c>
      <c r="R12" s="40">
        <v>1.3049999999999999</v>
      </c>
      <c r="S12" s="39">
        <f>(Q12+R12)/2</f>
        <v>1.4430000000000001</v>
      </c>
      <c r="T12" s="33">
        <v>0.57299999999999995</v>
      </c>
      <c r="U12" s="40">
        <v>0.21</v>
      </c>
      <c r="V12" s="54">
        <v>0.81200000000000006</v>
      </c>
      <c r="W12" s="39">
        <f>U12</f>
        <v>0.21</v>
      </c>
      <c r="X12" s="38">
        <v>2.4990000000000001</v>
      </c>
      <c r="Y12" s="40">
        <v>0.35399999999999998</v>
      </c>
      <c r="Z12" s="40">
        <v>0.38700000000000001</v>
      </c>
      <c r="AA12" s="39">
        <f>(Y12+Z12)/2</f>
        <v>0.3705</v>
      </c>
      <c r="AB12" s="33">
        <v>0.46400000000000002</v>
      </c>
      <c r="AC12" s="40">
        <v>0.33300000000000002</v>
      </c>
      <c r="AD12" s="40">
        <v>0.25800000000000001</v>
      </c>
      <c r="AE12" s="39">
        <f>(AC12+AD12)/2</f>
        <v>0.29549999999999998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</row>
    <row r="13" spans="2:47">
      <c r="B13" s="26">
        <v>500</v>
      </c>
      <c r="C13" s="27">
        <v>1.931</v>
      </c>
      <c r="D13" s="28">
        <v>2.0720000000000001</v>
      </c>
      <c r="E13" s="29">
        <f t="shared" si="0"/>
        <v>2.0015000000000001</v>
      </c>
      <c r="F13" s="19"/>
      <c r="G13" s="19"/>
      <c r="H13" s="6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6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 spans="2:47" ht="15" thickBot="1">
      <c r="B14" s="26">
        <v>750</v>
      </c>
      <c r="C14" s="27">
        <v>2.21</v>
      </c>
      <c r="D14" s="28">
        <v>2.2269999999999999</v>
      </c>
      <c r="E14" s="29">
        <f t="shared" si="0"/>
        <v>2.2184999999999997</v>
      </c>
      <c r="F14" s="19"/>
      <c r="G14" s="19"/>
      <c r="H14" s="6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6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</row>
    <row r="15" spans="2:47" ht="15" thickBot="1">
      <c r="B15" s="32">
        <v>1000</v>
      </c>
      <c r="C15" s="33">
        <v>2.3889999999999998</v>
      </c>
      <c r="D15" s="34">
        <v>2.4009999999999998</v>
      </c>
      <c r="E15" s="35">
        <f t="shared" si="0"/>
        <v>2.3949999999999996</v>
      </c>
      <c r="F15" s="19"/>
      <c r="G15" s="19"/>
      <c r="H15" s="109" t="str">
        <f>H6</f>
        <v>CONTROL + (M9)</v>
      </c>
      <c r="I15" s="110"/>
      <c r="J15" s="110"/>
      <c r="K15" s="111"/>
      <c r="L15" s="106" t="str">
        <f>L6</f>
        <v>CONTROL - (LB)</v>
      </c>
      <c r="M15" s="107"/>
      <c r="N15" s="107"/>
      <c r="O15" s="108"/>
      <c r="P15" s="82" t="str">
        <f>P6</f>
        <v>A (pH 6, 1:1)</v>
      </c>
      <c r="Q15" s="83"/>
      <c r="R15" s="83"/>
      <c r="S15" s="84"/>
      <c r="T15" s="85" t="str">
        <f>T6</f>
        <v>B (pH 6, 1:35)</v>
      </c>
      <c r="U15" s="86"/>
      <c r="V15" s="86"/>
      <c r="W15" s="87"/>
      <c r="X15" s="88" t="str">
        <f>X6</f>
        <v>C (pH 7, 1:1)</v>
      </c>
      <c r="Y15" s="89"/>
      <c r="Z15" s="89"/>
      <c r="AA15" s="90"/>
      <c r="AB15" s="91" t="str">
        <f>AB6</f>
        <v>D (pH 7, 1:35)</v>
      </c>
      <c r="AC15" s="92"/>
      <c r="AD15" s="92"/>
      <c r="AE15" s="93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</row>
    <row r="16" spans="2:47" ht="16.899999999999999" thickBot="1">
      <c r="B16" s="19"/>
      <c r="C16" s="19"/>
      <c r="D16" s="36" t="s">
        <v>18</v>
      </c>
      <c r="E16" s="37" t="s">
        <v>19</v>
      </c>
      <c r="F16" s="19"/>
      <c r="G16" s="66" t="s">
        <v>16</v>
      </c>
      <c r="H16" s="16" t="s">
        <v>17</v>
      </c>
      <c r="I16" s="17" t="s">
        <v>2</v>
      </c>
      <c r="J16" s="17" t="s">
        <v>20</v>
      </c>
      <c r="K16" s="18" t="s">
        <v>21</v>
      </c>
      <c r="L16" s="21" t="s">
        <v>17</v>
      </c>
      <c r="M16" s="17" t="s">
        <v>2</v>
      </c>
      <c r="N16" s="17" t="s">
        <v>20</v>
      </c>
      <c r="O16" s="18" t="s">
        <v>21</v>
      </c>
      <c r="P16" s="16" t="s">
        <v>17</v>
      </c>
      <c r="Q16" s="17" t="s">
        <v>2</v>
      </c>
      <c r="R16" s="17" t="s">
        <v>20</v>
      </c>
      <c r="S16" s="18" t="s">
        <v>21</v>
      </c>
      <c r="T16" s="21" t="s">
        <v>17</v>
      </c>
      <c r="U16" s="17" t="s">
        <v>2</v>
      </c>
      <c r="V16" s="17" t="s">
        <v>20</v>
      </c>
      <c r="W16" s="18" t="s">
        <v>21</v>
      </c>
      <c r="X16" s="16" t="s">
        <v>17</v>
      </c>
      <c r="Y16" s="17" t="s">
        <v>2</v>
      </c>
      <c r="Z16" s="17" t="s">
        <v>20</v>
      </c>
      <c r="AA16" s="18" t="s">
        <v>21</v>
      </c>
      <c r="AB16" s="21" t="s">
        <v>17</v>
      </c>
      <c r="AC16" s="17" t="s">
        <v>2</v>
      </c>
      <c r="AD16" s="17" t="s">
        <v>20</v>
      </c>
      <c r="AE16" s="18" t="s">
        <v>21</v>
      </c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  <row r="17" spans="2:47" ht="15" thickBot="1">
      <c r="B17" s="19"/>
      <c r="C17" s="19"/>
      <c r="D17" s="38">
        <f>SLOPE(E20:E23,D20:D23)</f>
        <v>1.170782608695652E-3</v>
      </c>
      <c r="E17" s="39">
        <f>INTERCEPT(E20:E23,D20:D23)</f>
        <v>0.14823913043478262</v>
      </c>
      <c r="F17" s="19"/>
      <c r="G17" s="67">
        <f>G8</f>
        <v>0</v>
      </c>
      <c r="H17" s="36">
        <f>H8</f>
        <v>0.70699999999999996</v>
      </c>
      <c r="I17" s="44">
        <f>(K8-$E$17)/$D$17</f>
        <v>1002.5438205585267</v>
      </c>
      <c r="J17" s="44">
        <f>I17*100</f>
        <v>100254.38205585266</v>
      </c>
      <c r="K17" s="37">
        <f>J17/H17</f>
        <v>141802.52058819332</v>
      </c>
      <c r="L17" s="50">
        <f>L8</f>
        <v>0.83299999999999996</v>
      </c>
      <c r="M17" s="44">
        <f>(O8-$E$17)/$D$17</f>
        <v>262.44058229352351</v>
      </c>
      <c r="N17" s="44">
        <f>M17*100</f>
        <v>26244.058229352351</v>
      </c>
      <c r="O17" s="37">
        <f>N17/L17</f>
        <v>31505.472064048441</v>
      </c>
      <c r="P17" s="36">
        <f>P8</f>
        <v>1.3640000000000001</v>
      </c>
      <c r="Q17" s="44">
        <f>(S8-$E$17)/$D$17</f>
        <v>595.12403446226972</v>
      </c>
      <c r="R17" s="44">
        <f>Q17*100</f>
        <v>59512.40344622697</v>
      </c>
      <c r="S17" s="37">
        <f>R17/P17</f>
        <v>43630.794315415667</v>
      </c>
      <c r="T17" s="50">
        <f>T8</f>
        <v>0.56399999999999995</v>
      </c>
      <c r="U17" s="44">
        <f>(W8-$E$17)/$D$17</f>
        <v>77.094474153297668</v>
      </c>
      <c r="V17" s="44">
        <f>U17*100</f>
        <v>7709.447415329767</v>
      </c>
      <c r="W17" s="37">
        <f>V17/T17</f>
        <v>13669.233005903843</v>
      </c>
      <c r="X17" s="36">
        <f>X8</f>
        <v>1.379</v>
      </c>
      <c r="Y17" s="44">
        <f>(AA8-$E$17)/$D$17</f>
        <v>195.39141414141415</v>
      </c>
      <c r="Z17" s="44">
        <f>Y17*100</f>
        <v>19539.141414141413</v>
      </c>
      <c r="AA17" s="37">
        <f>Z17/X17</f>
        <v>14169.06556500465</v>
      </c>
      <c r="AB17" s="50">
        <f>AB8</f>
        <v>0.58699999999999997</v>
      </c>
      <c r="AC17" s="44">
        <f>(AE8-$E$17)/$D$17</f>
        <v>78.802733214497906</v>
      </c>
      <c r="AD17" s="44">
        <f>AC17*100</f>
        <v>7880.2733214497903</v>
      </c>
      <c r="AE17" s="37">
        <f>AD17/AB17</f>
        <v>13424.656424957055</v>
      </c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</row>
    <row r="18" spans="2:47" ht="15" thickBot="1">
      <c r="B18" s="19"/>
      <c r="C18" s="19"/>
      <c r="D18" s="19"/>
      <c r="E18" s="19"/>
      <c r="F18" s="19"/>
      <c r="G18" s="14">
        <f t="shared" ref="G18:H21" si="4">G9</f>
        <v>30</v>
      </c>
      <c r="H18" s="30">
        <f t="shared" si="4"/>
        <v>0.61099999999999999</v>
      </c>
      <c r="I18" s="24">
        <f t="shared" ref="I18:I21" si="5">(K9-$E$17)/$D$17</f>
        <v>2248.2917409388001</v>
      </c>
      <c r="J18" s="24">
        <f t="shared" ref="J18:J21" si="6">I18*100</f>
        <v>224829.17409388002</v>
      </c>
      <c r="K18" s="25">
        <f t="shared" ref="K18:K21" si="7">J18/H18</f>
        <v>367969.1883696891</v>
      </c>
      <c r="L18" s="23">
        <f t="shared" ref="L18:L21" si="8">L9</f>
        <v>1.2410000000000001</v>
      </c>
      <c r="M18" s="24">
        <f t="shared" ref="M18:M21" si="9">(O9-$E$17)/$D$17</f>
        <v>643.38235294117646</v>
      </c>
      <c r="N18" s="24">
        <f t="shared" ref="N18:N21" si="10">M18*100</f>
        <v>64338.235294117643</v>
      </c>
      <c r="O18" s="25">
        <f t="shared" ref="O18:O21" si="11">N18/L18</f>
        <v>51843.864056500919</v>
      </c>
      <c r="P18" s="30">
        <f t="shared" ref="P18:P21" si="12">P9</f>
        <v>1.871</v>
      </c>
      <c r="Q18" s="24">
        <f t="shared" ref="Q18:Q21" si="13">(S9-$E$17)/$D$17</f>
        <v>320.0943256090315</v>
      </c>
      <c r="R18" s="24">
        <f t="shared" ref="R18:R21" si="14">Q18*100</f>
        <v>32009.432560903151</v>
      </c>
      <c r="S18" s="25">
        <f t="shared" ref="S18:S21" si="15">R18/P18</f>
        <v>17108.194848157749</v>
      </c>
      <c r="T18" s="23">
        <f t="shared" ref="T18:T21" si="16">T9</f>
        <v>0.56999999999999995</v>
      </c>
      <c r="U18" s="24">
        <f t="shared" ref="U18:U21" si="17">(W9-$E$17)/$D$17</f>
        <v>71.969696969696955</v>
      </c>
      <c r="V18" s="24">
        <f t="shared" ref="V18:V21" si="18">U18*100</f>
        <v>7196.9696969696952</v>
      </c>
      <c r="W18" s="25">
        <f t="shared" ref="W18:W21" si="19">V18/T18</f>
        <v>12626.262626262624</v>
      </c>
      <c r="X18" s="30">
        <f t="shared" ref="X18:X21" si="20">X9</f>
        <v>2.1789999999999998</v>
      </c>
      <c r="Y18" s="24">
        <f t="shared" ref="Y18:Y21" si="21">(AA9-$E$17)/$D$17</f>
        <v>259.45112893642312</v>
      </c>
      <c r="Z18" s="24">
        <f t="shared" ref="Z18:Z21" si="22">Y18*100</f>
        <v>25945.112893642312</v>
      </c>
      <c r="AA18" s="25">
        <f t="shared" ref="AA18:AA21" si="23">Z18/X18</f>
        <v>11906.889808922586</v>
      </c>
      <c r="AB18" s="23">
        <f t="shared" ref="AB18:AB21" si="24">AB9</f>
        <v>0.53200000000000003</v>
      </c>
      <c r="AC18" s="24">
        <f t="shared" ref="AC18:AC21" si="25">(AE9-$E$17)/$D$17</f>
        <v>89.479352346999406</v>
      </c>
      <c r="AD18" s="24">
        <f t="shared" ref="AD18:AD21" si="26">AC18*100</f>
        <v>8947.9352346999403</v>
      </c>
      <c r="AE18" s="25">
        <f t="shared" ref="AE18:AE21" si="27">AD18/AB18</f>
        <v>16819.427132894623</v>
      </c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</row>
    <row r="19" spans="2:47" ht="16.899999999999999" thickBot="1">
      <c r="B19" s="19"/>
      <c r="C19" s="19"/>
      <c r="D19" s="20" t="s">
        <v>2</v>
      </c>
      <c r="E19" s="18" t="s">
        <v>5</v>
      </c>
      <c r="F19" s="19"/>
      <c r="G19" s="14">
        <f t="shared" si="4"/>
        <v>60</v>
      </c>
      <c r="H19" s="30">
        <f t="shared" si="4"/>
        <v>0.61299999999999999</v>
      </c>
      <c r="I19" s="24">
        <f t="shared" si="5"/>
        <v>1546.6243315508025</v>
      </c>
      <c r="J19" s="24">
        <f t="shared" si="6"/>
        <v>154662.43315508025</v>
      </c>
      <c r="K19" s="25">
        <f t="shared" si="7"/>
        <v>252304.13239001672</v>
      </c>
      <c r="L19" s="23">
        <f t="shared" si="8"/>
        <v>1.5329999999999999</v>
      </c>
      <c r="M19" s="24">
        <f t="shared" si="9"/>
        <v>1002.9708853238267</v>
      </c>
      <c r="N19" s="24">
        <f t="shared" si="10"/>
        <v>100297.08853238267</v>
      </c>
      <c r="O19" s="25">
        <f t="shared" si="11"/>
        <v>65425.367601032398</v>
      </c>
      <c r="P19" s="30">
        <f t="shared" si="12"/>
        <v>1.9159999999999999</v>
      </c>
      <c r="Q19" s="24">
        <f t="shared" si="13"/>
        <v>611.35249554367203</v>
      </c>
      <c r="R19" s="24">
        <f t="shared" si="14"/>
        <v>61135.249554367205</v>
      </c>
      <c r="S19" s="25">
        <f t="shared" si="15"/>
        <v>31907.750289335701</v>
      </c>
      <c r="T19" s="23">
        <f t="shared" si="16"/>
        <v>0.58399999999999996</v>
      </c>
      <c r="U19" s="24">
        <f t="shared" si="17"/>
        <v>123.64453357100415</v>
      </c>
      <c r="V19" s="24">
        <f t="shared" si="18"/>
        <v>12364.453357100414</v>
      </c>
      <c r="W19" s="25">
        <f t="shared" si="19"/>
        <v>21172.009173117149</v>
      </c>
      <c r="X19" s="30">
        <f t="shared" si="20"/>
        <v>3.95</v>
      </c>
      <c r="Y19" s="24">
        <f t="shared" si="21"/>
        <v>156.95558526440882</v>
      </c>
      <c r="Z19" s="24">
        <f t="shared" si="22"/>
        <v>15695.558526440882</v>
      </c>
      <c r="AA19" s="25">
        <f t="shared" si="23"/>
        <v>3973.5591206179447</v>
      </c>
      <c r="AB19" s="23">
        <f t="shared" si="24"/>
        <v>0.497</v>
      </c>
      <c r="AC19" s="24">
        <f t="shared" si="25"/>
        <v>72.396761734997042</v>
      </c>
      <c r="AD19" s="56">
        <f t="shared" si="26"/>
        <v>7239.6761734997044</v>
      </c>
      <c r="AE19" s="25">
        <f t="shared" si="27"/>
        <v>14566.752864184517</v>
      </c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2:47">
      <c r="B20" s="19"/>
      <c r="C20" s="19"/>
      <c r="D20" s="26">
        <v>25</v>
      </c>
      <c r="E20" s="29">
        <f>E8-$E$7</f>
        <v>0.15250000000000002</v>
      </c>
      <c r="F20" s="19"/>
      <c r="G20" s="14">
        <f t="shared" si="4"/>
        <v>90</v>
      </c>
      <c r="H20" s="30">
        <f t="shared" si="4"/>
        <v>0.60399999999999998</v>
      </c>
      <c r="I20" s="24">
        <f t="shared" si="5"/>
        <v>1132.7985739750447</v>
      </c>
      <c r="J20" s="24">
        <f t="shared" si="6"/>
        <v>113279.85739750447</v>
      </c>
      <c r="K20" s="25">
        <f t="shared" si="7"/>
        <v>187549.4327773253</v>
      </c>
      <c r="L20" s="23">
        <f t="shared" si="8"/>
        <v>1.6519999999999999</v>
      </c>
      <c r="M20" s="24">
        <f t="shared" si="9"/>
        <v>887.66339869281057</v>
      </c>
      <c r="N20" s="24">
        <f t="shared" si="10"/>
        <v>88766.339869281059</v>
      </c>
      <c r="O20" s="25">
        <f t="shared" si="11"/>
        <v>53732.651252591444</v>
      </c>
      <c r="P20" s="30">
        <f t="shared" si="12"/>
        <v>2.0419999999999998</v>
      </c>
      <c r="Q20" s="24">
        <f t="shared" si="13"/>
        <v>1034.1466131907309</v>
      </c>
      <c r="R20" s="24">
        <f t="shared" si="14"/>
        <v>103414.66131907309</v>
      </c>
      <c r="S20" s="25">
        <f t="shared" si="15"/>
        <v>50643.810636176837</v>
      </c>
      <c r="T20" s="23">
        <f t="shared" si="16"/>
        <v>0.61799999999999999</v>
      </c>
      <c r="U20" s="24">
        <f t="shared" si="17"/>
        <v>46.34581105169341</v>
      </c>
      <c r="V20" s="24">
        <f t="shared" si="18"/>
        <v>4634.5811051693408</v>
      </c>
      <c r="W20" s="25">
        <f t="shared" si="19"/>
        <v>7499.3221766494189</v>
      </c>
      <c r="X20" s="30">
        <f t="shared" si="20"/>
        <v>2.4809999999999999</v>
      </c>
      <c r="Y20" s="24">
        <f t="shared" si="21"/>
        <v>251.33689839572193</v>
      </c>
      <c r="Z20" s="24">
        <f t="shared" si="22"/>
        <v>25133.689839572195</v>
      </c>
      <c r="AA20" s="25">
        <f t="shared" si="23"/>
        <v>10130.467488743328</v>
      </c>
      <c r="AB20" s="23">
        <f t="shared" si="24"/>
        <v>0.48799999999999999</v>
      </c>
      <c r="AC20" s="24">
        <f t="shared" si="25"/>
        <v>194.96434937611409</v>
      </c>
      <c r="AD20" s="24">
        <f t="shared" si="26"/>
        <v>19496.434937611408</v>
      </c>
      <c r="AE20" s="25">
        <f t="shared" si="27"/>
        <v>39951.710937728298</v>
      </c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2:47" ht="15" thickBot="1">
      <c r="B21" s="19"/>
      <c r="C21" s="19"/>
      <c r="D21" s="26">
        <v>50</v>
      </c>
      <c r="E21" s="29">
        <f t="shared" ref="E21:E27" si="28">E9-$E$7</f>
        <v>0.21950000000000003</v>
      </c>
      <c r="F21" s="19"/>
      <c r="G21" s="15">
        <f t="shared" si="4"/>
        <v>120</v>
      </c>
      <c r="H21" s="57">
        <f t="shared" si="4"/>
        <v>0.57799999999999996</v>
      </c>
      <c r="I21" s="58">
        <f t="shared" si="5"/>
        <v>1165.6825609031494</v>
      </c>
      <c r="J21" s="58">
        <f t="shared" si="6"/>
        <v>116568.25609031494</v>
      </c>
      <c r="K21" s="59">
        <f t="shared" si="7"/>
        <v>201675.18354725771</v>
      </c>
      <c r="L21" s="60">
        <f t="shared" si="8"/>
        <v>1.6919999999999999</v>
      </c>
      <c r="M21" s="58">
        <f t="shared" si="9"/>
        <v>633.13279857397504</v>
      </c>
      <c r="N21" s="58">
        <f t="shared" si="10"/>
        <v>63313.279857397501</v>
      </c>
      <c r="O21" s="59">
        <f t="shared" si="11"/>
        <v>37419.196133213656</v>
      </c>
      <c r="P21" s="57">
        <f t="shared" si="12"/>
        <v>2.1720000000000002</v>
      </c>
      <c r="Q21" s="58">
        <f t="shared" si="13"/>
        <v>1105.8934937611411</v>
      </c>
      <c r="R21" s="58">
        <f t="shared" si="14"/>
        <v>110589.34937611411</v>
      </c>
      <c r="S21" s="59">
        <f t="shared" si="15"/>
        <v>50915.906710918098</v>
      </c>
      <c r="T21" s="60">
        <f t="shared" si="16"/>
        <v>0.57299999999999995</v>
      </c>
      <c r="U21" s="58">
        <f t="shared" si="17"/>
        <v>52.75178253119428</v>
      </c>
      <c r="V21" s="61">
        <f t="shared" si="18"/>
        <v>5275.1782531194276</v>
      </c>
      <c r="W21" s="59">
        <f t="shared" si="19"/>
        <v>9206.2447698419346</v>
      </c>
      <c r="X21" s="57">
        <f t="shared" si="20"/>
        <v>2.4990000000000001</v>
      </c>
      <c r="Y21" s="58">
        <f t="shared" si="21"/>
        <v>189.83957219251337</v>
      </c>
      <c r="Z21" s="58">
        <f t="shared" si="22"/>
        <v>18983.957219251337</v>
      </c>
      <c r="AA21" s="59">
        <f t="shared" si="23"/>
        <v>7596.6215363150604</v>
      </c>
      <c r="AB21" s="60">
        <f t="shared" si="24"/>
        <v>0.46400000000000002</v>
      </c>
      <c r="AC21" s="58">
        <f t="shared" si="25"/>
        <v>125.77985739750444</v>
      </c>
      <c r="AD21" s="58">
        <f t="shared" si="26"/>
        <v>12577.985739750444</v>
      </c>
      <c r="AE21" s="59">
        <f t="shared" si="27"/>
        <v>27107.727887393197</v>
      </c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2:47">
      <c r="B22" s="19"/>
      <c r="C22" s="19"/>
      <c r="D22" s="26">
        <v>100</v>
      </c>
      <c r="E22" s="29">
        <f t="shared" si="28"/>
        <v>0.29000000000000004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 spans="2:47">
      <c r="B23" s="19"/>
      <c r="C23" s="19"/>
      <c r="D23" s="26">
        <v>200</v>
      </c>
      <c r="E23" s="29">
        <f t="shared" si="28"/>
        <v>0.37</v>
      </c>
      <c r="F23" s="19"/>
      <c r="G23" s="55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 spans="2:47">
      <c r="B24" s="19"/>
      <c r="C24" s="19"/>
      <c r="D24" s="26">
        <v>250</v>
      </c>
      <c r="E24" s="62">
        <f t="shared" si="28"/>
        <v>1.875</v>
      </c>
      <c r="F24" s="19"/>
      <c r="G24" s="55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 spans="2:47">
      <c r="B25" s="19"/>
      <c r="C25" s="19"/>
      <c r="D25" s="26">
        <v>500</v>
      </c>
      <c r="E25" s="62">
        <f t="shared" si="28"/>
        <v>1.8965000000000001</v>
      </c>
      <c r="F25" s="19"/>
      <c r="G25" s="55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</row>
    <row r="26" spans="2:47">
      <c r="B26" s="19"/>
      <c r="C26" s="19"/>
      <c r="D26" s="26">
        <v>750</v>
      </c>
      <c r="E26" s="62">
        <f t="shared" si="28"/>
        <v>2.1134999999999997</v>
      </c>
      <c r="F26" s="19"/>
      <c r="G26" s="55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</row>
    <row r="27" spans="2:47" ht="15" thickBot="1">
      <c r="B27" s="19"/>
      <c r="C27" s="19"/>
      <c r="D27" s="32">
        <v>1000</v>
      </c>
      <c r="E27" s="63">
        <f t="shared" si="28"/>
        <v>2.2899999999999996</v>
      </c>
      <c r="F27" s="19"/>
      <c r="G27" s="55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 spans="2:47">
      <c r="B28" s="19"/>
      <c r="C28" s="19"/>
      <c r="F28" s="19"/>
    </row>
    <row r="29" spans="2:47">
      <c r="B29" s="19"/>
      <c r="C29" s="19"/>
      <c r="D29" s="19"/>
      <c r="E29" s="19"/>
      <c r="F29" s="19"/>
    </row>
    <row r="30" spans="2:47">
      <c r="B30" s="19"/>
      <c r="C30" s="19"/>
      <c r="D30" s="19"/>
      <c r="E30" s="19"/>
      <c r="F30" s="19"/>
    </row>
    <row r="31" spans="2:47">
      <c r="B31" s="19"/>
      <c r="C31" s="19"/>
      <c r="D31" s="19"/>
      <c r="E31" s="19"/>
      <c r="F31" s="19"/>
    </row>
    <row r="32" spans="2:47">
      <c r="B32" s="19"/>
      <c r="C32" s="19"/>
      <c r="D32" s="19"/>
      <c r="E32" s="19"/>
      <c r="F32" s="19"/>
    </row>
    <row r="33" spans="2:47">
      <c r="B33" s="19"/>
      <c r="C33" s="19"/>
      <c r="D33" s="19"/>
      <c r="E33" s="19"/>
      <c r="F33" s="19"/>
    </row>
    <row r="34" spans="2:47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 spans="2:47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 spans="2:47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 spans="2:47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 spans="2:47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 spans="2:47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 spans="2:47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 spans="2:47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 spans="2:47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 spans="2:47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 spans="2:47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spans="2:47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7" spans="2:47">
      <c r="G47" s="7"/>
    </row>
    <row r="48" spans="2:4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</sheetData>
  <mergeCells count="18">
    <mergeCell ref="AF6:AI6"/>
    <mergeCell ref="AJ6:AM6"/>
    <mergeCell ref="AN6:AQ6"/>
    <mergeCell ref="AR6:AU6"/>
    <mergeCell ref="AB15:AE15"/>
    <mergeCell ref="L15:O15"/>
    <mergeCell ref="H15:K15"/>
    <mergeCell ref="H5:AE5"/>
    <mergeCell ref="B5:E5"/>
    <mergeCell ref="H6:K6"/>
    <mergeCell ref="L6:O6"/>
    <mergeCell ref="P6:S6"/>
    <mergeCell ref="T6:W6"/>
    <mergeCell ref="X6:AA6"/>
    <mergeCell ref="AB6:AE6"/>
    <mergeCell ref="X15:AA15"/>
    <mergeCell ref="T15:W15"/>
    <mergeCell ref="P15:S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4073-BDE1-4C5F-84AD-FE494C2AF45E}">
  <dimension ref="B3:Q18"/>
  <sheetViews>
    <sheetView topLeftCell="B1" workbookViewId="0">
      <selection activeCell="E4" sqref="E4"/>
    </sheetView>
  </sheetViews>
  <sheetFormatPr defaultColWidth="11.42578125" defaultRowHeight="14.45"/>
  <cols>
    <col min="2" max="2" width="7.7109375" bestFit="1" customWidth="1"/>
    <col min="3" max="3" width="66.7109375" bestFit="1" customWidth="1"/>
    <col min="4" max="4" width="24.140625" bestFit="1" customWidth="1"/>
    <col min="5" max="5" width="19" bestFit="1" customWidth="1"/>
    <col min="6" max="6" width="27.7109375" bestFit="1" customWidth="1"/>
    <col min="7" max="7" width="19.28515625" bestFit="1" customWidth="1"/>
    <col min="8" max="8" width="16.28515625" bestFit="1" customWidth="1"/>
    <col min="9" max="9" width="17" bestFit="1" customWidth="1"/>
    <col min="10" max="10" width="15.7109375" bestFit="1" customWidth="1"/>
  </cols>
  <sheetData>
    <row r="3" spans="2:17">
      <c r="F3" s="113" t="s">
        <v>87</v>
      </c>
      <c r="G3" s="113"/>
      <c r="H3" s="113" t="s">
        <v>88</v>
      </c>
      <c r="I3" s="113"/>
      <c r="J3" s="113"/>
    </row>
    <row r="4" spans="2:17" ht="15.6">
      <c r="B4" s="53" t="s">
        <v>89</v>
      </c>
      <c r="C4" s="53" t="s">
        <v>90</v>
      </c>
      <c r="D4" s="53" t="s">
        <v>91</v>
      </c>
      <c r="E4" s="53" t="s">
        <v>92</v>
      </c>
      <c r="F4" s="53" t="s">
        <v>93</v>
      </c>
      <c r="G4" s="53" t="s">
        <v>94</v>
      </c>
      <c r="H4" s="53" t="s">
        <v>95</v>
      </c>
      <c r="I4" s="53" t="s">
        <v>96</v>
      </c>
      <c r="J4" s="53" t="s">
        <v>97</v>
      </c>
      <c r="K4" s="19"/>
      <c r="L4" s="19"/>
      <c r="M4" s="19"/>
      <c r="N4" s="19"/>
      <c r="O4" s="19"/>
      <c r="P4" s="19"/>
      <c r="Q4" s="19"/>
    </row>
    <row r="5" spans="2:17">
      <c r="B5" s="53" t="s">
        <v>98</v>
      </c>
      <c r="C5" s="28" t="s">
        <v>99</v>
      </c>
      <c r="D5" s="28">
        <v>17256.2</v>
      </c>
      <c r="E5" s="28">
        <v>23</v>
      </c>
      <c r="F5" s="28">
        <v>100</v>
      </c>
      <c r="G5" s="52">
        <f>E5/F5*1000</f>
        <v>230</v>
      </c>
      <c r="H5" s="28">
        <v>100</v>
      </c>
      <c r="I5" s="52">
        <f>H5/10</f>
        <v>10</v>
      </c>
      <c r="J5" s="52">
        <f>H5-I5</f>
        <v>90</v>
      </c>
      <c r="K5" s="19"/>
      <c r="L5" s="19"/>
      <c r="M5" s="19"/>
      <c r="N5" s="19"/>
      <c r="O5" s="19"/>
      <c r="P5" s="19"/>
      <c r="Q5" s="19"/>
    </row>
    <row r="6" spans="2:17">
      <c r="B6" s="53" t="s">
        <v>100</v>
      </c>
      <c r="C6" s="28" t="s">
        <v>101</v>
      </c>
      <c r="D6" s="28">
        <v>17278.2</v>
      </c>
      <c r="E6" s="28">
        <v>29.8</v>
      </c>
      <c r="F6" s="28">
        <v>100</v>
      </c>
      <c r="G6" s="52">
        <f t="shared" ref="G6:G16" si="0">E6/F6*1000</f>
        <v>298</v>
      </c>
      <c r="H6" s="28">
        <v>100</v>
      </c>
      <c r="I6" s="52">
        <f t="shared" ref="I6:I16" si="1">H6/10</f>
        <v>10</v>
      </c>
      <c r="J6" s="52">
        <f t="shared" ref="J6:J16" si="2">H6-I6</f>
        <v>90</v>
      </c>
      <c r="K6" s="19"/>
      <c r="L6" s="19"/>
      <c r="M6" s="19"/>
      <c r="N6" s="19"/>
      <c r="O6" s="19"/>
      <c r="P6" s="19"/>
      <c r="Q6" s="19"/>
    </row>
    <row r="7" spans="2:17">
      <c r="B7" s="53" t="s">
        <v>102</v>
      </c>
      <c r="C7" s="28" t="s">
        <v>103</v>
      </c>
      <c r="D7" s="28">
        <v>17297.2</v>
      </c>
      <c r="E7" s="28">
        <v>34.1</v>
      </c>
      <c r="F7" s="28">
        <v>100</v>
      </c>
      <c r="G7" s="52">
        <f t="shared" si="0"/>
        <v>341</v>
      </c>
      <c r="H7" s="28">
        <v>100</v>
      </c>
      <c r="I7" s="52">
        <f t="shared" si="1"/>
        <v>10</v>
      </c>
      <c r="J7" s="52">
        <f t="shared" si="2"/>
        <v>90</v>
      </c>
      <c r="K7" s="19"/>
      <c r="L7" s="19"/>
      <c r="M7" s="19"/>
      <c r="N7" s="19"/>
      <c r="O7" s="19"/>
      <c r="P7" s="19"/>
      <c r="Q7" s="19"/>
    </row>
    <row r="8" spans="2:17">
      <c r="B8" s="53" t="s">
        <v>104</v>
      </c>
      <c r="C8" s="28" t="s">
        <v>105</v>
      </c>
      <c r="D8" s="28">
        <v>10988.2</v>
      </c>
      <c r="E8" s="28">
        <v>25.3</v>
      </c>
      <c r="F8" s="28">
        <v>100</v>
      </c>
      <c r="G8" s="52">
        <f t="shared" si="0"/>
        <v>253</v>
      </c>
      <c r="H8" s="28">
        <v>100</v>
      </c>
      <c r="I8" s="52">
        <f t="shared" si="1"/>
        <v>10</v>
      </c>
      <c r="J8" s="52">
        <f t="shared" si="2"/>
        <v>90</v>
      </c>
      <c r="K8" s="19"/>
      <c r="L8" s="19"/>
      <c r="M8" s="19"/>
      <c r="N8" s="19"/>
      <c r="O8" s="19"/>
      <c r="P8" s="19"/>
      <c r="Q8" s="19"/>
    </row>
    <row r="9" spans="2:17">
      <c r="B9" s="53" t="s">
        <v>106</v>
      </c>
      <c r="C9" s="28" t="s">
        <v>107</v>
      </c>
      <c r="D9" s="28">
        <v>10989.2</v>
      </c>
      <c r="E9" s="28">
        <v>23.8</v>
      </c>
      <c r="F9" s="28">
        <v>100</v>
      </c>
      <c r="G9" s="52">
        <f t="shared" si="0"/>
        <v>238.00000000000003</v>
      </c>
      <c r="H9" s="28">
        <v>100</v>
      </c>
      <c r="I9" s="52">
        <f t="shared" si="1"/>
        <v>10</v>
      </c>
      <c r="J9" s="52">
        <f t="shared" si="2"/>
        <v>90</v>
      </c>
      <c r="K9" s="19"/>
      <c r="L9" s="19"/>
      <c r="M9" s="19"/>
      <c r="N9" s="19"/>
      <c r="O9" s="19"/>
      <c r="P9" s="19"/>
      <c r="Q9" s="19"/>
    </row>
    <row r="10" spans="2:17">
      <c r="B10" s="53" t="s">
        <v>108</v>
      </c>
      <c r="C10" s="28" t="s">
        <v>109</v>
      </c>
      <c r="D10" s="28">
        <v>10987.2</v>
      </c>
      <c r="E10" s="28">
        <v>29.1</v>
      </c>
      <c r="F10" s="28">
        <v>100</v>
      </c>
      <c r="G10" s="52">
        <f t="shared" si="0"/>
        <v>291.00000000000006</v>
      </c>
      <c r="H10" s="28">
        <v>100</v>
      </c>
      <c r="I10" s="52">
        <f t="shared" si="1"/>
        <v>10</v>
      </c>
      <c r="J10" s="52">
        <f t="shared" si="2"/>
        <v>90</v>
      </c>
      <c r="K10" s="19"/>
      <c r="L10" s="19"/>
      <c r="M10" s="19"/>
      <c r="N10" s="19"/>
      <c r="O10" s="19"/>
      <c r="P10" s="19"/>
      <c r="Q10" s="19"/>
    </row>
    <row r="11" spans="2:17">
      <c r="B11" s="53" t="s">
        <v>110</v>
      </c>
      <c r="C11" s="28" t="s">
        <v>111</v>
      </c>
      <c r="D11" s="28">
        <v>6175</v>
      </c>
      <c r="E11" s="28">
        <v>28.4</v>
      </c>
      <c r="F11" s="28">
        <v>100</v>
      </c>
      <c r="G11" s="52">
        <f t="shared" si="0"/>
        <v>284</v>
      </c>
      <c r="H11" s="28">
        <v>100</v>
      </c>
      <c r="I11" s="52">
        <f t="shared" si="1"/>
        <v>10</v>
      </c>
      <c r="J11" s="52">
        <f t="shared" si="2"/>
        <v>90</v>
      </c>
      <c r="K11" s="19"/>
      <c r="L11" s="19"/>
      <c r="M11" s="19"/>
      <c r="N11" s="19"/>
      <c r="O11" s="19"/>
      <c r="P11" s="19"/>
      <c r="Q11" s="19"/>
    </row>
    <row r="12" spans="2:17">
      <c r="B12" s="53" t="s">
        <v>112</v>
      </c>
      <c r="C12" s="28" t="s">
        <v>113</v>
      </c>
      <c r="D12" s="28">
        <v>6064</v>
      </c>
      <c r="E12" s="28">
        <v>22.7</v>
      </c>
      <c r="F12" s="28">
        <v>100</v>
      </c>
      <c r="G12" s="52">
        <f t="shared" si="0"/>
        <v>226.99999999999997</v>
      </c>
      <c r="H12" s="28">
        <v>100</v>
      </c>
      <c r="I12" s="52">
        <f t="shared" si="1"/>
        <v>10</v>
      </c>
      <c r="J12" s="52">
        <f t="shared" si="2"/>
        <v>90</v>
      </c>
      <c r="K12" s="19"/>
      <c r="L12" s="19"/>
      <c r="M12" s="19"/>
      <c r="N12" s="19"/>
      <c r="O12" s="19"/>
      <c r="P12" s="19"/>
      <c r="Q12" s="19"/>
    </row>
    <row r="13" spans="2:17">
      <c r="B13" s="53" t="s">
        <v>114</v>
      </c>
      <c r="C13" s="28" t="s">
        <v>115</v>
      </c>
      <c r="D13" s="28">
        <v>6488.2</v>
      </c>
      <c r="E13" s="28">
        <v>28.7</v>
      </c>
      <c r="F13" s="28">
        <v>100</v>
      </c>
      <c r="G13" s="52">
        <f t="shared" si="0"/>
        <v>287</v>
      </c>
      <c r="H13" s="28">
        <v>100</v>
      </c>
      <c r="I13" s="52">
        <f t="shared" si="1"/>
        <v>10</v>
      </c>
      <c r="J13" s="52">
        <f t="shared" si="2"/>
        <v>90</v>
      </c>
      <c r="K13" s="19"/>
      <c r="L13" s="19"/>
      <c r="M13" s="19"/>
      <c r="N13" s="19"/>
      <c r="O13" s="19"/>
      <c r="P13" s="19"/>
      <c r="Q13" s="19"/>
    </row>
    <row r="14" spans="2:17">
      <c r="B14" s="53" t="s">
        <v>116</v>
      </c>
      <c r="C14" s="28" t="s">
        <v>117</v>
      </c>
      <c r="D14" s="28">
        <v>6088</v>
      </c>
      <c r="E14" s="28">
        <v>28.4</v>
      </c>
      <c r="F14" s="28">
        <v>100</v>
      </c>
      <c r="G14" s="52">
        <f t="shared" si="0"/>
        <v>284</v>
      </c>
      <c r="H14" s="28">
        <v>100</v>
      </c>
      <c r="I14" s="52">
        <f t="shared" si="1"/>
        <v>10</v>
      </c>
      <c r="J14" s="52">
        <f t="shared" si="2"/>
        <v>90</v>
      </c>
      <c r="K14" s="19"/>
      <c r="L14" s="19"/>
      <c r="M14" s="19"/>
      <c r="N14" s="19"/>
      <c r="O14" s="19"/>
      <c r="P14" s="19"/>
      <c r="Q14" s="19"/>
    </row>
    <row r="15" spans="2:17">
      <c r="B15" s="53" t="s">
        <v>118</v>
      </c>
      <c r="C15" s="28" t="s">
        <v>119</v>
      </c>
      <c r="D15" s="28">
        <v>6368.2</v>
      </c>
      <c r="E15" s="28">
        <v>37</v>
      </c>
      <c r="F15" s="28">
        <v>100</v>
      </c>
      <c r="G15" s="52">
        <f t="shared" si="0"/>
        <v>370</v>
      </c>
      <c r="H15" s="28">
        <v>100</v>
      </c>
      <c r="I15" s="52">
        <f t="shared" si="1"/>
        <v>10</v>
      </c>
      <c r="J15" s="52">
        <f t="shared" si="2"/>
        <v>90</v>
      </c>
      <c r="K15" s="19"/>
      <c r="L15" s="19"/>
      <c r="M15" s="19"/>
      <c r="N15" s="19"/>
      <c r="O15" s="19"/>
      <c r="P15" s="19"/>
      <c r="Q15" s="19"/>
    </row>
    <row r="16" spans="2:17">
      <c r="B16" s="53" t="s">
        <v>120</v>
      </c>
      <c r="C16" s="28" t="s">
        <v>121</v>
      </c>
      <c r="D16" s="28">
        <v>6463.2</v>
      </c>
      <c r="E16" s="28">
        <v>36.5</v>
      </c>
      <c r="F16" s="28">
        <v>100</v>
      </c>
      <c r="G16" s="52">
        <f t="shared" si="0"/>
        <v>365</v>
      </c>
      <c r="H16" s="28">
        <v>100</v>
      </c>
      <c r="I16" s="52">
        <f t="shared" si="1"/>
        <v>10</v>
      </c>
      <c r="J16" s="52">
        <f t="shared" si="2"/>
        <v>90</v>
      </c>
      <c r="K16" s="19"/>
      <c r="L16" s="19"/>
      <c r="M16" s="19"/>
      <c r="N16" s="19"/>
      <c r="O16" s="19"/>
      <c r="P16" s="19"/>
      <c r="Q16" s="19"/>
    </row>
    <row r="17" spans="2:17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2:17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</sheetData>
  <mergeCells count="2"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2025-07-13T15:02:44Z</dcterms:created>
  <dcterms:modified xsi:type="dcterms:W3CDTF">2026-10-07T20:19:07Z</dcterms:modified>
  <cp:category/>
  <cp:contentStatus/>
</cp:coreProperties>
</file>